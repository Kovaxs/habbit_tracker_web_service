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ovaxs/Desktop/"/>
    </mc:Choice>
  </mc:AlternateContent>
  <xr:revisionPtr revIDLastSave="0" documentId="13_ncr:1_{1F70E5F5-A38A-9B49-9B16-BAF3F70287E7}" xr6:coauthVersionLast="47" xr6:coauthVersionMax="47" xr10:uidLastSave="{00000000-0000-0000-0000-000000000000}"/>
  <bookViews>
    <workbookView xWindow="400" yWindow="760" windowWidth="34060" windowHeight="21460" activeTab="1" xr2:uid="{00000000-000D-0000-FFFF-FFFF00000000}"/>
  </bookViews>
  <sheets>
    <sheet name="Examen semanal 43" sheetId="6" r:id="rId1"/>
    <sheet name="Examen semanal 42" sheetId="4" r:id="rId2"/>
    <sheet name="Examen semanal 41" sheetId="3" r:id="rId3"/>
    <sheet name="Examen semanal 40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6" l="1"/>
  <c r="G14" i="6"/>
  <c r="F14" i="6"/>
  <c r="E14" i="6"/>
  <c r="D14" i="6"/>
  <c r="C14" i="6"/>
  <c r="B14" i="6"/>
  <c r="H13" i="6"/>
  <c r="G13" i="6"/>
  <c r="F13" i="6"/>
  <c r="H12" i="6"/>
  <c r="G12" i="6"/>
  <c r="F12" i="6"/>
  <c r="E12" i="6"/>
  <c r="D12" i="6"/>
  <c r="C12" i="6"/>
  <c r="B12" i="6"/>
  <c r="H11" i="6"/>
  <c r="G11" i="6"/>
  <c r="F11" i="6"/>
  <c r="E11" i="6"/>
  <c r="E13" i="6" s="1"/>
  <c r="D11" i="6"/>
  <c r="C11" i="6"/>
  <c r="B11" i="6"/>
  <c r="B13" i="6" s="1"/>
  <c r="H10" i="6"/>
  <c r="G10" i="6"/>
  <c r="F10" i="6"/>
  <c r="E10" i="6"/>
  <c r="D10" i="6"/>
  <c r="C10" i="6"/>
  <c r="B10" i="6"/>
  <c r="H14" i="4"/>
  <c r="G14" i="4"/>
  <c r="F14" i="4"/>
  <c r="E14" i="4"/>
  <c r="D14" i="4"/>
  <c r="C14" i="4"/>
  <c r="B14" i="4"/>
  <c r="D13" i="4"/>
  <c r="C13" i="4"/>
  <c r="H12" i="4"/>
  <c r="G12" i="4"/>
  <c r="F12" i="4"/>
  <c r="E12" i="4"/>
  <c r="D12" i="4"/>
  <c r="C12" i="4"/>
  <c r="B12" i="4"/>
  <c r="H11" i="4"/>
  <c r="H13" i="4" s="1"/>
  <c r="G11" i="4"/>
  <c r="G13" i="4" s="1"/>
  <c r="F11" i="4"/>
  <c r="F13" i="4" s="1"/>
  <c r="E11" i="4"/>
  <c r="E13" i="4" s="1"/>
  <c r="D11" i="4"/>
  <c r="C11" i="4"/>
  <c r="B11" i="4"/>
  <c r="B13" i="4" s="1"/>
  <c r="H10" i="4"/>
  <c r="G10" i="4"/>
  <c r="F10" i="4"/>
  <c r="E10" i="4"/>
  <c r="D10" i="4"/>
  <c r="C10" i="4"/>
  <c r="B10" i="4"/>
  <c r="H14" i="3"/>
  <c r="G14" i="3"/>
  <c r="F14" i="3"/>
  <c r="E14" i="3"/>
  <c r="D14" i="3"/>
  <c r="C14" i="3"/>
  <c r="B14" i="3"/>
  <c r="D13" i="3"/>
  <c r="H12" i="3"/>
  <c r="G12" i="3"/>
  <c r="F12" i="3"/>
  <c r="E12" i="3"/>
  <c r="D12" i="3"/>
  <c r="C12" i="3"/>
  <c r="B12" i="3"/>
  <c r="H11" i="3"/>
  <c r="G11" i="3"/>
  <c r="F11" i="3"/>
  <c r="E11" i="3"/>
  <c r="E13" i="3" s="1"/>
  <c r="D11" i="3"/>
  <c r="C11" i="3"/>
  <c r="C13" i="3" s="1"/>
  <c r="B11" i="3"/>
  <c r="B13" i="3" s="1"/>
  <c r="H10" i="3"/>
  <c r="G10" i="3"/>
  <c r="F10" i="3"/>
  <c r="E10" i="3"/>
  <c r="D10" i="3"/>
  <c r="C10" i="3"/>
  <c r="B10" i="3"/>
  <c r="H14" i="1"/>
  <c r="G14" i="1"/>
  <c r="F14" i="1"/>
  <c r="E14" i="1"/>
  <c r="D14" i="1"/>
  <c r="C14" i="1"/>
  <c r="B14" i="1"/>
  <c r="H13" i="1"/>
  <c r="F13" i="1"/>
  <c r="E13" i="1"/>
  <c r="D13" i="1"/>
  <c r="C13" i="1"/>
  <c r="H12" i="1"/>
  <c r="G12" i="1"/>
  <c r="F12" i="1"/>
  <c r="E12" i="1"/>
  <c r="D12" i="1"/>
  <c r="C12" i="1"/>
  <c r="B12" i="1"/>
  <c r="H11" i="1"/>
  <c r="G11" i="1"/>
  <c r="G13" i="1" s="1"/>
  <c r="F11" i="1"/>
  <c r="E11" i="1"/>
  <c r="D11" i="1"/>
  <c r="C11" i="1"/>
  <c r="B11" i="1"/>
  <c r="B13" i="1" s="1"/>
  <c r="H10" i="1"/>
  <c r="G10" i="1"/>
  <c r="F10" i="1"/>
  <c r="E10" i="1"/>
  <c r="D10" i="1"/>
  <c r="C10" i="1"/>
  <c r="B10" i="1"/>
  <c r="D13" i="6" l="1"/>
  <c r="C13" i="6"/>
  <c r="B16" i="4"/>
  <c r="G13" i="3"/>
  <c r="F13" i="3"/>
  <c r="H13" i="3"/>
  <c r="B16" i="1"/>
  <c r="B16" i="6" l="1"/>
  <c r="B16" i="3"/>
</calcChain>
</file>

<file path=xl/sharedStrings.xml><?xml version="1.0" encoding="utf-8"?>
<sst xmlns="http://schemas.openxmlformats.org/spreadsheetml/2006/main" count="140" uniqueCount="28">
  <si>
    <t>Examen particular</t>
  </si>
  <si>
    <t>Propósito concreto</t>
  </si>
  <si>
    <t>Semana desde (lunes)</t>
  </si>
  <si>
    <t>Amarillo: editable.</t>
  </si>
  <si>
    <t>Primer examen a las</t>
  </si>
  <si>
    <t>Ajusta la hora al terminar de comer (hora en punto).</t>
  </si>
  <si>
    <t>Al levantarte: recuerda el propósito y pide ayuda a Dios.</t>
  </si>
  <si>
    <t>Después de comer y cenar: repasa las horas, registra las ocasiones y renueva el propósito.</t>
  </si>
  <si>
    <t>Resumen</t>
  </si>
  <si>
    <t>Lunes</t>
  </si>
  <si>
    <t>Martes</t>
  </si>
  <si>
    <t>Miércoles</t>
  </si>
  <si>
    <t>Jueves</t>
  </si>
  <si>
    <t>Viernes</t>
  </si>
  <si>
    <t>Sábado</t>
  </si>
  <si>
    <t>Domingo</t>
  </si>
  <si>
    <t>Fecha</t>
  </si>
  <si>
    <t>Hasta el primer examen</t>
  </si>
  <si>
    <t>Desde el primer examen</t>
  </si>
  <si>
    <t>Total registrado</t>
  </si>
  <si>
    <t>Horas registradas</t>
  </si>
  <si>
    <t>Total semanal registrado</t>
  </si>
  <si>
    <t>Los totales suman solo las horas rellenadas.</t>
  </si>
  <si>
    <t>Introduce 0 si revisaste una hora sin ocasiones. Deja en blanco las horas sin revisar o fuera de vigilia.</t>
  </si>
  <si>
    <t>Hora de inicio</t>
  </si>
  <si>
    <t>Qué me ayudó / dificultó</t>
  </si>
  <si>
    <t>Para otra semana: duplica esta pestaña, cambia la fecha y borra B20:H43 y tus notas.</t>
  </si>
  <si>
    <t>No ver reels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</si>
</sst>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dd/mm"/>
  </numFmts>
  <fonts count="6">
    <font>
      <sz val="11"/>
      <name val="Carlito"/>
    </font>
    <font>
      <sz val="11"/>
      <color rgb="FF243247"/>
      <name val="Arial"/>
      <family val="2"/>
    </font>
    <font>
      <b/>
      <sz val="16"/>
      <color rgb="FF263C5B"/>
      <name val="Arial"/>
      <family val="2"/>
    </font>
    <font>
      <b/>
      <sz val="11"/>
      <color rgb="FF243247"/>
      <name val="Arial"/>
      <family val="2"/>
    </font>
    <font>
      <b/>
      <sz val="11"/>
      <color rgb="FFFFFFFF"/>
      <name val="Arial"/>
      <family val="2"/>
    </font>
    <font>
      <sz val="11"/>
      <color rgb="FF24324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4"/>
      </patternFill>
    </fill>
    <fill>
      <patternFill patternType="solid">
        <fgColor rgb="FFFFF8E5"/>
      </patternFill>
    </fill>
    <fill>
      <patternFill patternType="solid">
        <fgColor rgb="FF263C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65" fontId="1" fillId="0" borderId="0" xfId="0" applyNumberFormat="1" applyFont="1"/>
    <xf numFmtId="165" fontId="1" fillId="2" borderId="0" xfId="0" applyNumberFormat="1" applyFont="1" applyFill="1"/>
    <xf numFmtId="166" fontId="1" fillId="0" borderId="0" xfId="0" applyNumberFormat="1" applyFont="1"/>
    <xf numFmtId="0" fontId="3" fillId="3" borderId="0" xfId="0" applyFont="1" applyFill="1"/>
    <xf numFmtId="0" fontId="1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center"/>
    </xf>
    <xf numFmtId="0" fontId="5" fillId="2" borderId="0" xfId="0" applyFont="1" applyFill="1"/>
    <xf numFmtId="1" fontId="5" fillId="4" borderId="0" xfId="0" applyNumberFormat="1" applyFont="1" applyFill="1" applyAlignment="1">
      <alignment horizontal="right"/>
    </xf>
  </cellXfs>
  <cellStyles count="1">
    <cellStyle name="Normal" xfId="0" builtinId="0"/>
  </cellStyles>
  <dxfs count="4">
    <dxf>
      <border>
        <top style="medium">
          <color rgb="FF263C5B"/>
        </top>
      </border>
    </dxf>
    <dxf>
      <border>
        <top style="medium">
          <color rgb="FF263C5B"/>
        </top>
      </border>
    </dxf>
    <dxf>
      <border>
        <top style="medium">
          <color rgb="FF263C5B"/>
        </top>
      </border>
    </dxf>
    <dxf>
      <border>
        <top style="medium">
          <color rgb="FF263C5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7CA2-F696-6141-87F1-0E9ECBE85F4D}">
  <dimension ref="A1:H49"/>
  <sheetViews>
    <sheetView showGridLines="0" zoomScale="80" zoomScaleNormal="80" workbookViewId="0">
      <pane ySplit="19" topLeftCell="A27" activePane="bottomLeft" state="frozen"/>
      <selection pane="bottomLeft" activeCell="J33" sqref="J33"/>
    </sheetView>
  </sheetViews>
  <sheetFormatPr baseColWidth="10" defaultColWidth="8.83203125" defaultRowHeight="14"/>
  <cols>
    <col min="1" max="1" width="29" customWidth="1"/>
    <col min="2" max="8" width="16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3" customHeight="1">
      <c r="A3" s="1" t="s">
        <v>1</v>
      </c>
      <c r="B3" s="13" t="s">
        <v>27</v>
      </c>
      <c r="C3" s="3"/>
      <c r="D3" s="3"/>
      <c r="E3" s="3"/>
      <c r="F3" s="3"/>
      <c r="G3" s="3"/>
      <c r="H3" s="3"/>
    </row>
    <row r="4" spans="1:8" ht="23" customHeight="1">
      <c r="A4" s="1" t="s">
        <v>2</v>
      </c>
      <c r="B4" s="4">
        <v>46314</v>
      </c>
      <c r="C4" s="1"/>
      <c r="D4" s="1" t="s">
        <v>3</v>
      </c>
      <c r="E4" s="1"/>
      <c r="F4" s="1"/>
      <c r="G4" s="1"/>
      <c r="H4" s="1"/>
    </row>
    <row r="5" spans="1:8" ht="23" customHeight="1">
      <c r="A5" s="1" t="s">
        <v>4</v>
      </c>
      <c r="B5" s="6">
        <v>0.58333333333333337</v>
      </c>
      <c r="C5" s="1"/>
      <c r="D5" s="1" t="s">
        <v>5</v>
      </c>
      <c r="E5" s="1"/>
      <c r="F5" s="1"/>
      <c r="G5" s="1"/>
      <c r="H5" s="1"/>
    </row>
    <row r="6" spans="1:8" ht="23" customHeight="1">
      <c r="A6" s="1"/>
      <c r="B6" s="1"/>
      <c r="C6" s="1"/>
      <c r="D6" s="1"/>
      <c r="E6" s="1"/>
      <c r="F6" s="1"/>
      <c r="G6" s="1"/>
      <c r="H6" s="1"/>
    </row>
    <row r="7" spans="1:8" ht="23" customHeight="1">
      <c r="A7" s="1" t="s">
        <v>6</v>
      </c>
      <c r="B7" s="1"/>
      <c r="C7" s="1"/>
      <c r="D7" s="1"/>
      <c r="E7" s="1"/>
      <c r="F7" s="1"/>
      <c r="G7" s="1"/>
      <c r="H7" s="1"/>
    </row>
    <row r="8" spans="1:8" ht="23" customHeight="1">
      <c r="A8" s="1" t="s">
        <v>7</v>
      </c>
      <c r="B8" s="1"/>
      <c r="C8" s="1"/>
      <c r="D8" s="1"/>
      <c r="E8" s="1"/>
      <c r="F8" s="1"/>
      <c r="G8" s="1"/>
      <c r="H8" s="1"/>
    </row>
    <row r="9" spans="1:8" ht="23" customHeight="1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8" ht="23" customHeight="1">
      <c r="A10" s="1" t="s">
        <v>16</v>
      </c>
      <c r="B10" s="7">
        <f>$B$4+0</f>
        <v>46314</v>
      </c>
      <c r="C10" s="7">
        <f>$B$4+1</f>
        <v>46315</v>
      </c>
      <c r="D10" s="7">
        <f>$B$4+2</f>
        <v>46316</v>
      </c>
      <c r="E10" s="7">
        <f>$B$4+3</f>
        <v>46317</v>
      </c>
      <c r="F10" s="7">
        <f>$B$4+4</f>
        <v>46318</v>
      </c>
      <c r="G10" s="7">
        <f>$B$4+5</f>
        <v>46319</v>
      </c>
      <c r="H10" s="7">
        <f>$B$4+6</f>
        <v>46320</v>
      </c>
    </row>
    <row r="11" spans="1:8" ht="23" customHeight="1">
      <c r="A11" s="1" t="s">
        <v>17</v>
      </c>
      <c r="B11" s="9">
        <f t="shared" ref="B11:H11" si="0">IF(COUNTIFS(B20:B43,"&lt;&gt;",$A$20:$A$43,"&lt;"&amp;$B$5)=0,"",SUMIFS(B20:B43,$A$20:$A$43,"&lt;"&amp;$B$5))</f>
        <v>1</v>
      </c>
      <c r="C11" s="9">
        <f t="shared" si="0"/>
        <v>1</v>
      </c>
      <c r="D11" s="9">
        <f t="shared" si="0"/>
        <v>1</v>
      </c>
      <c r="E11" s="9" t="str">
        <f t="shared" si="0"/>
        <v/>
      </c>
      <c r="F11" s="9" t="str">
        <f t="shared" si="0"/>
        <v/>
      </c>
      <c r="G11" s="9" t="str">
        <f t="shared" si="0"/>
        <v/>
      </c>
      <c r="H11" s="9" t="str">
        <f t="shared" si="0"/>
        <v/>
      </c>
    </row>
    <row r="12" spans="1:8" ht="23" customHeight="1">
      <c r="A12" s="1" t="s">
        <v>18</v>
      </c>
      <c r="B12" s="9">
        <f t="shared" ref="B12:H12" si="1">IF(COUNTIFS(B20:B43,"&lt;&gt;",$A$20:$A$43,"&gt;="&amp;$B$5)=0,"",SUMIFS(B20:B43,$A$20:$A$43,"&gt;="&amp;$B$5))</f>
        <v>3</v>
      </c>
      <c r="C12" s="9">
        <f t="shared" si="1"/>
        <v>4</v>
      </c>
      <c r="D12" s="9">
        <f t="shared" si="1"/>
        <v>4</v>
      </c>
      <c r="E12" s="9" t="str">
        <f t="shared" si="1"/>
        <v/>
      </c>
      <c r="F12" s="9" t="str">
        <f t="shared" si="1"/>
        <v/>
      </c>
      <c r="G12" s="9" t="str">
        <f t="shared" si="1"/>
        <v/>
      </c>
      <c r="H12" s="9" t="str">
        <f t="shared" si="1"/>
        <v/>
      </c>
    </row>
    <row r="13" spans="1:8" ht="23" customHeight="1">
      <c r="A13" s="8" t="s">
        <v>19</v>
      </c>
      <c r="B13" s="10">
        <f t="shared" ref="B13:H13" si="2">IF(COUNT(B20:B43)=0,"",SUM(B11:B12))</f>
        <v>4</v>
      </c>
      <c r="C13" s="10">
        <f t="shared" si="2"/>
        <v>5</v>
      </c>
      <c r="D13" s="10">
        <f t="shared" si="2"/>
        <v>5</v>
      </c>
      <c r="E13" s="10" t="str">
        <f t="shared" si="2"/>
        <v/>
      </c>
      <c r="F13" s="10" t="str">
        <f t="shared" si="2"/>
        <v/>
      </c>
      <c r="G13" s="10" t="str">
        <f t="shared" si="2"/>
        <v/>
      </c>
      <c r="H13" s="10" t="str">
        <f t="shared" si="2"/>
        <v/>
      </c>
    </row>
    <row r="14" spans="1:8" ht="23" customHeight="1">
      <c r="A14" s="1" t="s">
        <v>20</v>
      </c>
      <c r="B14" s="9">
        <f t="shared" ref="B14:H14" si="3">IF(COUNT(B20:B43)=0,"",COUNT(B20:B43))</f>
        <v>17</v>
      </c>
      <c r="C14" s="9">
        <f t="shared" si="3"/>
        <v>17</v>
      </c>
      <c r="D14" s="9">
        <f t="shared" si="3"/>
        <v>17</v>
      </c>
      <c r="E14" s="9" t="str">
        <f t="shared" si="3"/>
        <v/>
      </c>
      <c r="F14" s="9" t="str">
        <f t="shared" si="3"/>
        <v/>
      </c>
      <c r="G14" s="9" t="str">
        <f t="shared" si="3"/>
        <v/>
      </c>
      <c r="H14" s="9" t="str">
        <f t="shared" si="3"/>
        <v/>
      </c>
    </row>
    <row r="15" spans="1:8" ht="23" customHeight="1">
      <c r="A15" s="1"/>
      <c r="B15" s="9"/>
      <c r="C15" s="9"/>
      <c r="D15" s="9"/>
      <c r="E15" s="9"/>
      <c r="F15" s="9"/>
      <c r="G15" s="9"/>
      <c r="H15" s="9"/>
    </row>
    <row r="16" spans="1:8" ht="23" customHeight="1">
      <c r="A16" s="1" t="s">
        <v>21</v>
      </c>
      <c r="B16" s="9">
        <f>IF(COUNT(B13:H13)=0,"",SUM(B13:H13))</f>
        <v>14</v>
      </c>
      <c r="C16" s="1" t="s">
        <v>22</v>
      </c>
      <c r="D16" s="1"/>
      <c r="E16" s="9"/>
      <c r="F16" s="9"/>
      <c r="G16" s="9"/>
      <c r="H16" s="9"/>
    </row>
    <row r="17" spans="1:8" ht="23" customHeight="1">
      <c r="A17" s="1"/>
      <c r="B17" s="9"/>
      <c r="C17" s="9"/>
      <c r="D17" s="9"/>
      <c r="E17" s="9"/>
      <c r="F17" s="9"/>
      <c r="G17" s="9"/>
      <c r="H17" s="9"/>
    </row>
    <row r="18" spans="1:8" ht="23" customHeight="1">
      <c r="A18" s="1" t="s">
        <v>23</v>
      </c>
      <c r="B18" s="9"/>
      <c r="C18" s="9"/>
      <c r="D18" s="9"/>
      <c r="E18" s="9"/>
      <c r="F18" s="9"/>
      <c r="G18" s="9"/>
      <c r="H18" s="9"/>
    </row>
    <row r="19" spans="1:8" ht="23" customHeight="1">
      <c r="A19" s="12" t="s">
        <v>24</v>
      </c>
      <c r="B19" s="12" t="s">
        <v>9</v>
      </c>
      <c r="C19" s="12" t="s">
        <v>10</v>
      </c>
      <c r="D19" s="12" t="s">
        <v>11</v>
      </c>
      <c r="E19" s="12" t="s">
        <v>12</v>
      </c>
      <c r="F19" s="12" t="s">
        <v>13</v>
      </c>
      <c r="G19" s="12" t="s">
        <v>14</v>
      </c>
      <c r="H19" s="12" t="s">
        <v>15</v>
      </c>
    </row>
    <row r="20" spans="1:8" ht="23" hidden="1" customHeight="1">
      <c r="A20" s="5">
        <v>0</v>
      </c>
      <c r="B20" s="14"/>
      <c r="C20" s="11"/>
      <c r="D20" s="11"/>
      <c r="E20" s="11"/>
      <c r="F20" s="11"/>
      <c r="G20" s="11"/>
      <c r="H20" s="11"/>
    </row>
    <row r="21" spans="1:8" ht="23" hidden="1" customHeight="1">
      <c r="A21" s="5">
        <v>4.1666666666666664E-2</v>
      </c>
      <c r="B21" s="11"/>
      <c r="C21" s="11"/>
      <c r="D21" s="11"/>
      <c r="E21" s="11"/>
      <c r="F21" s="11"/>
      <c r="G21" s="11"/>
      <c r="H21" s="11"/>
    </row>
    <row r="22" spans="1:8" ht="23" hidden="1" customHeight="1">
      <c r="A22" s="5">
        <v>8.3333333333333329E-2</v>
      </c>
      <c r="B22" s="11"/>
      <c r="C22" s="11"/>
      <c r="D22" s="11"/>
      <c r="E22" s="11"/>
      <c r="F22" s="11"/>
      <c r="G22" s="11"/>
      <c r="H22" s="11"/>
    </row>
    <row r="23" spans="1:8" ht="23" hidden="1" customHeight="1">
      <c r="A23" s="5">
        <v>0.125</v>
      </c>
      <c r="B23" s="11"/>
      <c r="C23" s="11"/>
      <c r="D23" s="11"/>
      <c r="E23" s="11"/>
      <c r="F23" s="11"/>
      <c r="G23" s="11"/>
      <c r="H23" s="11"/>
    </row>
    <row r="24" spans="1:8" ht="23" hidden="1" customHeight="1">
      <c r="A24" s="5">
        <v>0.16666666666666666</v>
      </c>
      <c r="B24" s="11"/>
      <c r="C24" s="11"/>
      <c r="D24" s="11"/>
      <c r="E24" s="11"/>
      <c r="F24" s="11"/>
      <c r="G24" s="11"/>
      <c r="H24" s="11"/>
    </row>
    <row r="25" spans="1:8" ht="23" hidden="1" customHeight="1">
      <c r="A25" s="5">
        <v>0.20833333333333334</v>
      </c>
      <c r="B25" s="11"/>
      <c r="C25" s="11"/>
      <c r="D25" s="11"/>
      <c r="E25" s="11"/>
      <c r="F25" s="11"/>
      <c r="G25" s="11"/>
      <c r="H25" s="11"/>
    </row>
    <row r="26" spans="1:8" ht="23" hidden="1" customHeight="1">
      <c r="A26" s="5">
        <v>0.25</v>
      </c>
      <c r="B26" s="11"/>
      <c r="C26" s="11"/>
      <c r="D26" s="11"/>
      <c r="E26" s="11"/>
      <c r="F26" s="11"/>
      <c r="G26" s="11"/>
      <c r="H26" s="11"/>
    </row>
    <row r="27" spans="1:8" ht="23" customHeight="1">
      <c r="A27" s="5">
        <v>0.29166666666666669</v>
      </c>
      <c r="B27" s="11">
        <v>1</v>
      </c>
      <c r="C27" s="11">
        <v>1</v>
      </c>
      <c r="D27" s="11">
        <v>1</v>
      </c>
      <c r="E27" s="11"/>
      <c r="F27" s="11"/>
      <c r="G27" s="11"/>
      <c r="H27" s="11"/>
    </row>
    <row r="28" spans="1:8" ht="23" customHeight="1">
      <c r="A28" s="5">
        <v>0.33333333333333331</v>
      </c>
      <c r="B28" s="11">
        <v>0</v>
      </c>
      <c r="C28" s="11">
        <v>0</v>
      </c>
      <c r="D28" s="11">
        <v>0</v>
      </c>
      <c r="E28" s="11"/>
      <c r="F28" s="11"/>
      <c r="G28" s="11"/>
      <c r="H28" s="11"/>
    </row>
    <row r="29" spans="1:8" ht="23" customHeight="1">
      <c r="A29" s="5">
        <v>0.375</v>
      </c>
      <c r="B29" s="11">
        <v>0</v>
      </c>
      <c r="C29" s="11">
        <v>0</v>
      </c>
      <c r="D29" s="11">
        <v>0</v>
      </c>
      <c r="E29" s="11"/>
      <c r="F29" s="11"/>
      <c r="G29" s="11"/>
      <c r="H29" s="11"/>
    </row>
    <row r="30" spans="1:8" ht="23" customHeight="1">
      <c r="A30" s="5">
        <v>0.41666666666666669</v>
      </c>
      <c r="B30" s="11">
        <v>0</v>
      </c>
      <c r="C30" s="11">
        <v>0</v>
      </c>
      <c r="D30" s="11">
        <v>0</v>
      </c>
      <c r="E30" s="11"/>
      <c r="F30" s="11"/>
      <c r="G30" s="11"/>
      <c r="H30" s="11"/>
    </row>
    <row r="31" spans="1:8" ht="23" customHeight="1">
      <c r="A31" s="5">
        <v>0.45833333333333331</v>
      </c>
      <c r="B31" s="11">
        <v>0</v>
      </c>
      <c r="C31" s="11">
        <v>0</v>
      </c>
      <c r="D31" s="11">
        <v>0</v>
      </c>
      <c r="E31" s="11"/>
      <c r="F31" s="11"/>
      <c r="G31" s="11"/>
      <c r="H31" s="11"/>
    </row>
    <row r="32" spans="1:8" ht="23" customHeight="1">
      <c r="A32" s="5">
        <v>0.5</v>
      </c>
      <c r="B32" s="11">
        <v>0</v>
      </c>
      <c r="C32" s="11">
        <v>0</v>
      </c>
      <c r="D32" s="11">
        <v>0</v>
      </c>
      <c r="E32" s="11"/>
      <c r="F32" s="11"/>
      <c r="G32" s="11"/>
      <c r="H32" s="11"/>
    </row>
    <row r="33" spans="1:8" ht="23" customHeight="1">
      <c r="A33" s="5">
        <v>0.54166666666666663</v>
      </c>
      <c r="B33" s="11">
        <v>0</v>
      </c>
      <c r="C33" s="11">
        <v>0</v>
      </c>
      <c r="D33" s="11">
        <v>0</v>
      </c>
      <c r="E33" s="11"/>
      <c r="F33" s="11"/>
      <c r="G33" s="11"/>
      <c r="H33" s="11"/>
    </row>
    <row r="34" spans="1:8" ht="23" customHeight="1">
      <c r="A34" s="5">
        <v>0.58333333333333337</v>
      </c>
      <c r="B34" s="11">
        <v>1</v>
      </c>
      <c r="C34" s="11">
        <v>1</v>
      </c>
      <c r="D34" s="11">
        <v>1</v>
      </c>
      <c r="E34" s="11"/>
      <c r="F34" s="11"/>
      <c r="G34" s="11"/>
      <c r="H34" s="11"/>
    </row>
    <row r="35" spans="1:8" ht="23" customHeight="1">
      <c r="A35" s="5">
        <v>0.625</v>
      </c>
      <c r="B35" s="11">
        <v>1</v>
      </c>
      <c r="C35" s="11">
        <v>1</v>
      </c>
      <c r="D35" s="11">
        <v>1</v>
      </c>
      <c r="E35" s="11"/>
      <c r="F35" s="11"/>
      <c r="G35" s="11"/>
      <c r="H35" s="11"/>
    </row>
    <row r="36" spans="1:8" ht="23" customHeight="1">
      <c r="A36" s="5">
        <v>0.66666666666666663</v>
      </c>
      <c r="B36" s="11">
        <v>0</v>
      </c>
      <c r="C36" s="11">
        <v>0</v>
      </c>
      <c r="D36" s="11">
        <v>1</v>
      </c>
      <c r="E36" s="11"/>
      <c r="F36" s="11"/>
      <c r="G36" s="11"/>
      <c r="H36" s="11"/>
    </row>
    <row r="37" spans="1:8" ht="23" customHeight="1">
      <c r="A37" s="5">
        <v>0.70833333333333337</v>
      </c>
      <c r="B37" s="11">
        <v>0</v>
      </c>
      <c r="C37" s="11">
        <v>0</v>
      </c>
      <c r="D37" s="11">
        <v>0</v>
      </c>
      <c r="E37" s="11"/>
      <c r="F37" s="11"/>
      <c r="G37" s="11"/>
      <c r="H37" s="11"/>
    </row>
    <row r="38" spans="1:8" ht="23" customHeight="1">
      <c r="A38" s="5">
        <v>0.75</v>
      </c>
      <c r="B38" s="11">
        <v>0</v>
      </c>
      <c r="C38" s="11">
        <v>0</v>
      </c>
      <c r="D38" s="11">
        <v>0</v>
      </c>
      <c r="E38" s="11"/>
      <c r="F38" s="11"/>
      <c r="G38" s="11"/>
      <c r="H38" s="11"/>
    </row>
    <row r="39" spans="1:8" ht="23" customHeight="1">
      <c r="A39" s="5">
        <v>0.79166666666666663</v>
      </c>
      <c r="B39" s="11">
        <v>0</v>
      </c>
      <c r="C39" s="11">
        <v>0</v>
      </c>
      <c r="D39" s="11">
        <v>0</v>
      </c>
      <c r="E39" s="11"/>
      <c r="F39" s="11"/>
      <c r="G39" s="11"/>
      <c r="H39" s="11"/>
    </row>
    <row r="40" spans="1:8" ht="23" customHeight="1">
      <c r="A40" s="5">
        <v>0.83333333333333337</v>
      </c>
      <c r="B40" s="11">
        <v>0</v>
      </c>
      <c r="C40" s="11">
        <v>0</v>
      </c>
      <c r="D40" s="11">
        <v>1</v>
      </c>
      <c r="E40" s="11"/>
      <c r="F40" s="11"/>
      <c r="G40" s="11"/>
      <c r="H40" s="11"/>
    </row>
    <row r="41" spans="1:8" ht="23" customHeight="1">
      <c r="A41" s="5">
        <v>0.875</v>
      </c>
      <c r="B41" s="11">
        <v>0</v>
      </c>
      <c r="C41" s="11">
        <v>0</v>
      </c>
      <c r="D41" s="11">
        <v>0</v>
      </c>
      <c r="E41" s="11"/>
      <c r="F41" s="11"/>
      <c r="G41" s="11"/>
      <c r="H41" s="11"/>
    </row>
    <row r="42" spans="1:8" ht="23" customHeight="1">
      <c r="A42" s="5">
        <v>0.91666666666666663</v>
      </c>
      <c r="B42" s="11">
        <v>0</v>
      </c>
      <c r="C42" s="11">
        <v>1</v>
      </c>
      <c r="D42" s="11">
        <v>0</v>
      </c>
      <c r="E42" s="11"/>
      <c r="F42" s="11"/>
      <c r="G42" s="11"/>
      <c r="H42" s="11"/>
    </row>
    <row r="43" spans="1:8" ht="23" customHeight="1">
      <c r="A43" s="5">
        <v>0.95833333333333337</v>
      </c>
      <c r="B43" s="11">
        <v>1</v>
      </c>
      <c r="C43" s="11">
        <v>1</v>
      </c>
      <c r="D43" s="11">
        <v>0</v>
      </c>
      <c r="E43" s="11"/>
      <c r="F43" s="11"/>
      <c r="G43" s="11"/>
      <c r="H43" s="11"/>
    </row>
    <row r="44" spans="1:8" ht="23" customHeight="1">
      <c r="A44" s="1"/>
      <c r="B44" s="1"/>
      <c r="C44" s="1"/>
      <c r="D44" s="1"/>
      <c r="E44" s="1"/>
      <c r="F44" s="1"/>
      <c r="G44" s="1"/>
      <c r="H44" s="1"/>
    </row>
    <row r="45" spans="1:8" ht="23" customHeight="1">
      <c r="A45" s="1" t="s">
        <v>25</v>
      </c>
      <c r="B45" s="3"/>
      <c r="C45" s="3"/>
      <c r="D45" s="3"/>
      <c r="E45" s="3"/>
      <c r="F45" s="3"/>
      <c r="G45" s="3"/>
      <c r="H45" s="3"/>
    </row>
    <row r="46" spans="1:8" ht="23" customHeight="1">
      <c r="A46" s="1"/>
      <c r="B46" s="3"/>
      <c r="C46" s="3"/>
      <c r="D46" s="3"/>
      <c r="E46" s="3"/>
      <c r="F46" s="3"/>
      <c r="G46" s="3"/>
      <c r="H46" s="3"/>
    </row>
    <row r="47" spans="1:8" ht="23" customHeight="1">
      <c r="A47" s="1"/>
      <c r="B47" s="1"/>
      <c r="C47" s="1"/>
      <c r="D47" s="1"/>
      <c r="E47" s="1"/>
      <c r="F47" s="1"/>
      <c r="G47" s="1"/>
      <c r="H47" s="1"/>
    </row>
    <row r="48" spans="1:8" ht="23" customHeight="1">
      <c r="A48" s="1" t="s">
        <v>26</v>
      </c>
      <c r="B48" s="1"/>
      <c r="C48" s="1"/>
      <c r="D48" s="1"/>
      <c r="E48" s="1"/>
      <c r="F48" s="1"/>
      <c r="G48" s="1"/>
      <c r="H48" s="1"/>
    </row>
    <row r="49" spans="1:8" ht="23" customHeight="1">
      <c r="A49" s="1"/>
      <c r="B49" s="1"/>
      <c r="C49" s="1"/>
      <c r="D49" s="1"/>
      <c r="E49" s="1"/>
      <c r="F49" s="1"/>
      <c r="G49" s="1"/>
      <c r="H49" s="1"/>
    </row>
  </sheetData>
  <conditionalFormatting sqref="A20:H43">
    <cfRule type="expression" dxfId="0" priority="1">
      <formula>$A20=$B$5</formula>
    </cfRule>
  </conditionalFormatting>
  <dataValidations count="1">
    <dataValidation type="whole" sqref="B20:H43" xr:uid="{D371F83C-AA6E-7E45-A159-0D8846987E66}">
      <formula1>0</formula1>
      <formula2>10000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4952-4927-4B4C-B117-F4C1FE425A25}">
  <dimension ref="A1:H49"/>
  <sheetViews>
    <sheetView showGridLines="0" tabSelected="1" zoomScale="80" zoomScaleNormal="80" workbookViewId="0">
      <pane ySplit="19" topLeftCell="A27" activePane="bottomLeft" state="frozen"/>
      <selection pane="bottomLeft" activeCell="E38" sqref="E38"/>
    </sheetView>
  </sheetViews>
  <sheetFormatPr baseColWidth="10" defaultColWidth="8.83203125" defaultRowHeight="14"/>
  <cols>
    <col min="1" max="1" width="29" customWidth="1"/>
    <col min="2" max="8" width="16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3" customHeight="1">
      <c r="A3" s="1" t="s">
        <v>1</v>
      </c>
      <c r="B3" s="13" t="s">
        <v>27</v>
      </c>
      <c r="C3" s="3"/>
      <c r="D3" s="3"/>
      <c r="E3" s="3"/>
      <c r="F3" s="3"/>
      <c r="G3" s="3"/>
      <c r="H3" s="3"/>
    </row>
    <row r="4" spans="1:8" ht="23" customHeight="1">
      <c r="A4" s="1" t="s">
        <v>2</v>
      </c>
      <c r="B4" s="4">
        <v>46307</v>
      </c>
      <c r="C4" s="1"/>
      <c r="D4" s="1" t="s">
        <v>3</v>
      </c>
      <c r="E4" s="1"/>
      <c r="F4" s="1"/>
      <c r="G4" s="1"/>
      <c r="H4" s="1"/>
    </row>
    <row r="5" spans="1:8" ht="23" customHeight="1">
      <c r="A5" s="1" t="s">
        <v>4</v>
      </c>
      <c r="B5" s="6">
        <v>0.58333333333333337</v>
      </c>
      <c r="C5" s="1"/>
      <c r="D5" s="1" t="s">
        <v>5</v>
      </c>
      <c r="E5" s="1"/>
      <c r="F5" s="1"/>
      <c r="G5" s="1"/>
      <c r="H5" s="1"/>
    </row>
    <row r="6" spans="1:8" ht="23" customHeight="1">
      <c r="A6" s="1"/>
      <c r="B6" s="1"/>
      <c r="C6" s="1"/>
      <c r="D6" s="1"/>
      <c r="E6" s="1"/>
      <c r="F6" s="1"/>
      <c r="G6" s="1"/>
      <c r="H6" s="1"/>
    </row>
    <row r="7" spans="1:8" ht="23" customHeight="1">
      <c r="A7" s="1" t="s">
        <v>6</v>
      </c>
      <c r="B7" s="1"/>
      <c r="C7" s="1"/>
      <c r="D7" s="1"/>
      <c r="E7" s="1"/>
      <c r="F7" s="1"/>
      <c r="G7" s="1"/>
      <c r="H7" s="1"/>
    </row>
    <row r="8" spans="1:8" ht="23" customHeight="1">
      <c r="A8" s="1" t="s">
        <v>7</v>
      </c>
      <c r="B8" s="1"/>
      <c r="C8" s="1"/>
      <c r="D8" s="1"/>
      <c r="E8" s="1"/>
      <c r="F8" s="1"/>
      <c r="G8" s="1"/>
      <c r="H8" s="1"/>
    </row>
    <row r="9" spans="1:8" ht="23" customHeight="1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8" ht="23" customHeight="1">
      <c r="A10" s="1" t="s">
        <v>16</v>
      </c>
      <c r="B10" s="7">
        <f>$B$4+0</f>
        <v>46307</v>
      </c>
      <c r="C10" s="7">
        <f>$B$4+1</f>
        <v>46308</v>
      </c>
      <c r="D10" s="7">
        <f>$B$4+2</f>
        <v>46309</v>
      </c>
      <c r="E10" s="7">
        <f>$B$4+3</f>
        <v>46310</v>
      </c>
      <c r="F10" s="7">
        <f>$B$4+4</f>
        <v>46311</v>
      </c>
      <c r="G10" s="7">
        <f>$B$4+5</f>
        <v>46312</v>
      </c>
      <c r="H10" s="7">
        <f>$B$4+6</f>
        <v>46313</v>
      </c>
    </row>
    <row r="11" spans="1:8" ht="23" customHeight="1">
      <c r="A11" s="1" t="s">
        <v>17</v>
      </c>
      <c r="B11" s="9">
        <f t="shared" ref="B11:H11" si="0">IF(COUNTIFS(B20:B43,"&lt;&gt;",$A$20:$A$43,"&lt;"&amp;$B$5)=0,"",SUMIFS(B20:B43,$A$20:$A$43,"&lt;"&amp;$B$5))</f>
        <v>2</v>
      </c>
      <c r="C11" s="9" t="str">
        <f t="shared" si="0"/>
        <v/>
      </c>
      <c r="D11" s="9" t="str">
        <f t="shared" si="0"/>
        <v/>
      </c>
      <c r="E11" s="9" t="str">
        <f t="shared" si="0"/>
        <v/>
      </c>
      <c r="F11" s="9" t="str">
        <f t="shared" si="0"/>
        <v/>
      </c>
      <c r="G11" s="9" t="str">
        <f t="shared" si="0"/>
        <v/>
      </c>
      <c r="H11" s="9" t="str">
        <f t="shared" si="0"/>
        <v/>
      </c>
    </row>
    <row r="12" spans="1:8" ht="23" customHeight="1">
      <c r="A12" s="1" t="s">
        <v>18</v>
      </c>
      <c r="B12" s="9" t="str">
        <f t="shared" ref="B12:H12" si="1">IF(COUNTIFS(B20:B43,"&lt;&gt;",$A$20:$A$43,"&gt;="&amp;$B$5)=0,"",SUMIFS(B20:B43,$A$20:$A$43,"&gt;="&amp;$B$5))</f>
        <v/>
      </c>
      <c r="C12" s="9" t="str">
        <f t="shared" si="1"/>
        <v/>
      </c>
      <c r="D12" s="9" t="str">
        <f t="shared" si="1"/>
        <v/>
      </c>
      <c r="E12" s="9" t="str">
        <f t="shared" si="1"/>
        <v/>
      </c>
      <c r="F12" s="9" t="str">
        <f t="shared" si="1"/>
        <v/>
      </c>
      <c r="G12" s="9" t="str">
        <f t="shared" si="1"/>
        <v/>
      </c>
      <c r="H12" s="9" t="str">
        <f t="shared" si="1"/>
        <v/>
      </c>
    </row>
    <row r="13" spans="1:8" ht="23" customHeight="1">
      <c r="A13" s="8" t="s">
        <v>19</v>
      </c>
      <c r="B13" s="10">
        <f t="shared" ref="B13:H13" si="2">IF(COUNT(B20:B43)=0,"",SUM(B11:B12))</f>
        <v>2</v>
      </c>
      <c r="C13" s="10" t="str">
        <f t="shared" si="2"/>
        <v/>
      </c>
      <c r="D13" s="10" t="str">
        <f t="shared" si="2"/>
        <v/>
      </c>
      <c r="E13" s="10" t="str">
        <f t="shared" si="2"/>
        <v/>
      </c>
      <c r="F13" s="10" t="str">
        <f t="shared" si="2"/>
        <v/>
      </c>
      <c r="G13" s="10" t="str">
        <f t="shared" si="2"/>
        <v/>
      </c>
      <c r="H13" s="10" t="str">
        <f t="shared" si="2"/>
        <v/>
      </c>
    </row>
    <row r="14" spans="1:8" ht="23" customHeight="1">
      <c r="A14" s="1" t="s">
        <v>20</v>
      </c>
      <c r="B14" s="9">
        <f t="shared" ref="B14:H14" si="3">IF(COUNT(B20:B43)=0,"",COUNT(B20:B43))</f>
        <v>7</v>
      </c>
      <c r="C14" s="9" t="str">
        <f t="shared" si="3"/>
        <v/>
      </c>
      <c r="D14" s="9" t="str">
        <f t="shared" si="3"/>
        <v/>
      </c>
      <c r="E14" s="9" t="str">
        <f t="shared" si="3"/>
        <v/>
      </c>
      <c r="F14" s="9" t="str">
        <f t="shared" si="3"/>
        <v/>
      </c>
      <c r="G14" s="9" t="str">
        <f t="shared" si="3"/>
        <v/>
      </c>
      <c r="H14" s="9" t="str">
        <f t="shared" si="3"/>
        <v/>
      </c>
    </row>
    <row r="15" spans="1:8" ht="23" customHeight="1">
      <c r="A15" s="1"/>
      <c r="B15" s="9"/>
      <c r="C15" s="9"/>
      <c r="D15" s="9"/>
      <c r="E15" s="9"/>
      <c r="F15" s="9"/>
      <c r="G15" s="9"/>
      <c r="H15" s="9"/>
    </row>
    <row r="16" spans="1:8" ht="23" customHeight="1">
      <c r="A16" s="1" t="s">
        <v>21</v>
      </c>
      <c r="B16" s="9">
        <f>IF(COUNT(B13:H13)=0,"",SUM(B13:H13))</f>
        <v>2</v>
      </c>
      <c r="C16" s="1" t="s">
        <v>22</v>
      </c>
      <c r="D16" s="1"/>
      <c r="E16" s="9"/>
      <c r="F16" s="9"/>
      <c r="G16" s="9"/>
      <c r="H16" s="9"/>
    </row>
    <row r="17" spans="1:8" ht="23" customHeight="1">
      <c r="A17" s="1"/>
      <c r="B17" s="9"/>
      <c r="C17" s="9"/>
      <c r="D17" s="9"/>
      <c r="E17" s="9"/>
      <c r="F17" s="9"/>
      <c r="G17" s="9"/>
      <c r="H17" s="9"/>
    </row>
    <row r="18" spans="1:8" ht="23" customHeight="1">
      <c r="A18" s="1" t="s">
        <v>23</v>
      </c>
      <c r="B18" s="9"/>
      <c r="C18" s="9"/>
      <c r="D18" s="9"/>
      <c r="E18" s="9"/>
      <c r="F18" s="9"/>
      <c r="G18" s="9"/>
      <c r="H18" s="9"/>
    </row>
    <row r="19" spans="1:8" ht="23" customHeight="1">
      <c r="A19" s="12" t="s">
        <v>24</v>
      </c>
      <c r="B19" s="12" t="s">
        <v>9</v>
      </c>
      <c r="C19" s="12" t="s">
        <v>10</v>
      </c>
      <c r="D19" s="12" t="s">
        <v>11</v>
      </c>
      <c r="E19" s="12" t="s">
        <v>12</v>
      </c>
      <c r="F19" s="12" t="s">
        <v>13</v>
      </c>
      <c r="G19" s="12" t="s">
        <v>14</v>
      </c>
      <c r="H19" s="12" t="s">
        <v>15</v>
      </c>
    </row>
    <row r="20" spans="1:8" ht="23" hidden="1" customHeight="1">
      <c r="A20" s="5">
        <v>0</v>
      </c>
      <c r="B20" s="14"/>
      <c r="C20" s="11"/>
      <c r="D20" s="11"/>
      <c r="E20" s="11"/>
      <c r="F20" s="11"/>
      <c r="G20" s="11"/>
      <c r="H20" s="11"/>
    </row>
    <row r="21" spans="1:8" ht="23" hidden="1" customHeight="1">
      <c r="A21" s="5">
        <v>4.1666666666666664E-2</v>
      </c>
      <c r="B21" s="11"/>
      <c r="C21" s="11"/>
      <c r="D21" s="11"/>
      <c r="E21" s="11"/>
      <c r="F21" s="11"/>
      <c r="G21" s="11"/>
      <c r="H21" s="11"/>
    </row>
    <row r="22" spans="1:8" ht="23" hidden="1" customHeight="1">
      <c r="A22" s="5">
        <v>8.3333333333333329E-2</v>
      </c>
      <c r="B22" s="11"/>
      <c r="C22" s="11"/>
      <c r="D22" s="11"/>
      <c r="E22" s="11"/>
      <c r="F22" s="11"/>
      <c r="G22" s="11"/>
      <c r="H22" s="11"/>
    </row>
    <row r="23" spans="1:8" ht="23" hidden="1" customHeight="1">
      <c r="A23" s="5">
        <v>0.125</v>
      </c>
      <c r="B23" s="11"/>
      <c r="C23" s="11"/>
      <c r="D23" s="11"/>
      <c r="E23" s="11"/>
      <c r="F23" s="11"/>
      <c r="G23" s="11"/>
      <c r="H23" s="11"/>
    </row>
    <row r="24" spans="1:8" ht="23" hidden="1" customHeight="1">
      <c r="A24" s="5">
        <v>0.16666666666666666</v>
      </c>
      <c r="B24" s="11"/>
      <c r="C24" s="11"/>
      <c r="D24" s="11"/>
      <c r="E24" s="11"/>
      <c r="F24" s="11"/>
      <c r="G24" s="11"/>
      <c r="H24" s="11"/>
    </row>
    <row r="25" spans="1:8" ht="23" hidden="1" customHeight="1">
      <c r="A25" s="5">
        <v>0.20833333333333334</v>
      </c>
      <c r="B25" s="11"/>
      <c r="C25" s="11"/>
      <c r="D25" s="11"/>
      <c r="E25" s="11"/>
      <c r="F25" s="11"/>
      <c r="G25" s="11"/>
      <c r="H25" s="11"/>
    </row>
    <row r="26" spans="1:8" ht="23" hidden="1" customHeight="1">
      <c r="A26" s="5">
        <v>0.25</v>
      </c>
      <c r="B26" s="11"/>
      <c r="C26" s="11"/>
      <c r="D26" s="11"/>
      <c r="E26" s="11"/>
      <c r="F26" s="11"/>
      <c r="G26" s="11"/>
      <c r="H26" s="11"/>
    </row>
    <row r="27" spans="1:8" ht="23" customHeight="1">
      <c r="A27" s="5">
        <v>0.29166666666666669</v>
      </c>
      <c r="B27" s="11">
        <v>0</v>
      </c>
      <c r="C27" s="11"/>
      <c r="D27" s="11"/>
      <c r="E27" s="11"/>
      <c r="F27" s="11"/>
      <c r="G27" s="11"/>
      <c r="H27" s="11"/>
    </row>
    <row r="28" spans="1:8" ht="23" customHeight="1">
      <c r="A28" s="5">
        <v>0.33333333333333331</v>
      </c>
      <c r="B28" s="11">
        <v>0</v>
      </c>
      <c r="C28" s="11"/>
      <c r="D28" s="11"/>
      <c r="E28" s="11"/>
      <c r="F28" s="11"/>
      <c r="G28" s="11"/>
      <c r="H28" s="11"/>
    </row>
    <row r="29" spans="1:8" ht="23" customHeight="1">
      <c r="A29" s="5">
        <v>0.375</v>
      </c>
      <c r="B29" s="11">
        <v>1</v>
      </c>
      <c r="C29" s="11"/>
      <c r="D29" s="11"/>
      <c r="E29" s="11"/>
      <c r="F29" s="11"/>
      <c r="G29" s="11"/>
      <c r="H29" s="11"/>
    </row>
    <row r="30" spans="1:8" ht="23" customHeight="1">
      <c r="A30" s="5">
        <v>0.41666666666666669</v>
      </c>
      <c r="B30" s="11">
        <v>1</v>
      </c>
      <c r="C30" s="11"/>
      <c r="D30" s="11"/>
      <c r="E30" s="11"/>
      <c r="F30" s="11"/>
      <c r="G30" s="11"/>
      <c r="H30" s="11"/>
    </row>
    <row r="31" spans="1:8" ht="23" customHeight="1">
      <c r="A31" s="5">
        <v>0.45833333333333331</v>
      </c>
      <c r="B31" s="11">
        <v>0</v>
      </c>
      <c r="C31" s="11"/>
      <c r="D31" s="11"/>
      <c r="E31" s="11"/>
      <c r="F31" s="11"/>
      <c r="G31" s="11"/>
      <c r="H31" s="11"/>
    </row>
    <row r="32" spans="1:8" ht="23" customHeight="1">
      <c r="A32" s="5">
        <v>0.5</v>
      </c>
      <c r="B32" s="11">
        <v>0</v>
      </c>
      <c r="C32" s="11"/>
      <c r="D32" s="11"/>
      <c r="E32" s="11"/>
      <c r="F32" s="11"/>
      <c r="G32" s="11"/>
      <c r="H32" s="11"/>
    </row>
    <row r="33" spans="1:8" ht="23" customHeight="1">
      <c r="A33" s="5">
        <v>0.54166666666666663</v>
      </c>
      <c r="B33" s="11">
        <v>0</v>
      </c>
      <c r="C33" s="11"/>
      <c r="D33" s="11"/>
      <c r="E33" s="11"/>
      <c r="F33" s="11"/>
      <c r="G33" s="11"/>
      <c r="H33" s="11"/>
    </row>
    <row r="34" spans="1:8" ht="23" customHeight="1">
      <c r="A34" s="5">
        <v>0.58333333333333337</v>
      </c>
      <c r="B34" s="11"/>
      <c r="C34" s="11"/>
      <c r="D34" s="11"/>
      <c r="E34" s="11"/>
      <c r="F34" s="11"/>
      <c r="G34" s="11"/>
      <c r="H34" s="11"/>
    </row>
    <row r="35" spans="1:8" ht="23" customHeight="1">
      <c r="A35" s="5">
        <v>0.625</v>
      </c>
      <c r="B35" s="11"/>
      <c r="C35" s="11"/>
      <c r="D35" s="11"/>
      <c r="E35" s="11"/>
      <c r="F35" s="11"/>
      <c r="G35" s="11"/>
      <c r="H35" s="11"/>
    </row>
    <row r="36" spans="1:8" ht="23" customHeight="1">
      <c r="A36" s="5">
        <v>0.66666666666666663</v>
      </c>
      <c r="B36" s="11"/>
      <c r="C36" s="11"/>
      <c r="D36" s="11"/>
      <c r="E36" s="11"/>
      <c r="F36" s="11"/>
      <c r="G36" s="11"/>
      <c r="H36" s="11"/>
    </row>
    <row r="37" spans="1:8" ht="23" customHeight="1">
      <c r="A37" s="5">
        <v>0.70833333333333337</v>
      </c>
      <c r="B37" s="11"/>
      <c r="C37" s="11"/>
      <c r="D37" s="11"/>
      <c r="E37" s="11"/>
      <c r="F37" s="11"/>
      <c r="G37" s="11"/>
      <c r="H37" s="11"/>
    </row>
    <row r="38" spans="1:8" ht="23" customHeight="1">
      <c r="A38" s="5">
        <v>0.75</v>
      </c>
      <c r="B38" s="11"/>
      <c r="C38" s="11"/>
      <c r="D38" s="11"/>
      <c r="E38" s="11"/>
      <c r="F38" s="11"/>
      <c r="G38" s="11"/>
      <c r="H38" s="11"/>
    </row>
    <row r="39" spans="1:8" ht="23" customHeight="1">
      <c r="A39" s="5">
        <v>0.79166666666666663</v>
      </c>
      <c r="B39" s="11"/>
      <c r="C39" s="11"/>
      <c r="D39" s="11"/>
      <c r="E39" s="11"/>
      <c r="F39" s="11"/>
      <c r="G39" s="11"/>
      <c r="H39" s="11"/>
    </row>
    <row r="40" spans="1:8" ht="23" customHeight="1">
      <c r="A40" s="5">
        <v>0.83333333333333337</v>
      </c>
      <c r="B40" s="11"/>
      <c r="C40" s="11"/>
      <c r="D40" s="11"/>
      <c r="E40" s="11"/>
      <c r="F40" s="11"/>
      <c r="G40" s="11"/>
      <c r="H40" s="11"/>
    </row>
    <row r="41" spans="1:8" ht="23" customHeight="1">
      <c r="A41" s="5">
        <v>0.875</v>
      </c>
      <c r="B41" s="11"/>
      <c r="C41" s="11"/>
      <c r="D41" s="11"/>
      <c r="E41" s="11"/>
      <c r="F41" s="11"/>
      <c r="G41" s="11"/>
      <c r="H41" s="11"/>
    </row>
    <row r="42" spans="1:8" ht="23" customHeight="1">
      <c r="A42" s="5">
        <v>0.91666666666666663</v>
      </c>
      <c r="B42" s="11"/>
      <c r="C42" s="11"/>
      <c r="D42" s="11"/>
      <c r="E42" s="11"/>
      <c r="F42" s="11"/>
      <c r="G42" s="11"/>
      <c r="H42" s="11"/>
    </row>
    <row r="43" spans="1:8" ht="23" customHeight="1">
      <c r="A43" s="5">
        <v>0.95833333333333337</v>
      </c>
      <c r="B43" s="11"/>
      <c r="C43" s="11"/>
      <c r="D43" s="11"/>
      <c r="E43" s="11"/>
      <c r="F43" s="11"/>
      <c r="G43" s="11"/>
      <c r="H43" s="11"/>
    </row>
    <row r="44" spans="1:8" ht="23" customHeight="1">
      <c r="A44" s="1"/>
      <c r="B44" s="1"/>
      <c r="C44" s="1"/>
      <c r="D44" s="1"/>
      <c r="E44" s="1"/>
      <c r="F44" s="1"/>
      <c r="G44" s="1"/>
      <c r="H44" s="1"/>
    </row>
    <row r="45" spans="1:8" ht="23" customHeight="1">
      <c r="A45" s="1" t="s">
        <v>25</v>
      </c>
      <c r="B45" s="3"/>
      <c r="C45" s="3"/>
      <c r="D45" s="3"/>
      <c r="E45" s="3"/>
      <c r="F45" s="3"/>
      <c r="G45" s="3"/>
      <c r="H45" s="3"/>
    </row>
    <row r="46" spans="1:8" ht="23" customHeight="1">
      <c r="A46" s="1"/>
      <c r="B46" s="3"/>
      <c r="C46" s="3"/>
      <c r="D46" s="3"/>
      <c r="E46" s="3"/>
      <c r="F46" s="3"/>
      <c r="G46" s="3"/>
      <c r="H46" s="3"/>
    </row>
    <row r="47" spans="1:8" ht="23" customHeight="1">
      <c r="A47" s="1"/>
      <c r="B47" s="1"/>
      <c r="C47" s="1"/>
      <c r="D47" s="1"/>
      <c r="E47" s="1"/>
      <c r="F47" s="1"/>
      <c r="G47" s="1"/>
      <c r="H47" s="1"/>
    </row>
    <row r="48" spans="1:8" ht="23" customHeight="1">
      <c r="A48" s="1" t="s">
        <v>26</v>
      </c>
      <c r="B48" s="1"/>
      <c r="C48" s="1"/>
      <c r="D48" s="1"/>
      <c r="E48" s="1"/>
      <c r="F48" s="1"/>
      <c r="G48" s="1"/>
      <c r="H48" s="1"/>
    </row>
    <row r="49" spans="1:8" ht="23" customHeight="1">
      <c r="A49" s="1"/>
      <c r="B49" s="1"/>
      <c r="C49" s="1"/>
      <c r="D49" s="1"/>
      <c r="E49" s="1"/>
      <c r="F49" s="1"/>
      <c r="G49" s="1"/>
      <c r="H49" s="1"/>
    </row>
  </sheetData>
  <conditionalFormatting sqref="A20:H43">
    <cfRule type="expression" dxfId="3" priority="1">
      <formula>$A20=$B$5</formula>
    </cfRule>
  </conditionalFormatting>
  <dataValidations count="1">
    <dataValidation type="whole" sqref="B20:H43" xr:uid="{771C97C0-F4FC-044C-AC1C-CA580EAEA976}">
      <formula1>0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ECEF-8EEC-5A41-B5EA-1155FA0A2C02}">
  <dimension ref="A1:H49"/>
  <sheetViews>
    <sheetView showGridLines="0" zoomScale="80" zoomScaleNormal="80" workbookViewId="0">
      <pane ySplit="19" topLeftCell="A27" activePane="bottomLeft" state="frozen"/>
      <selection pane="bottomLeft" activeCell="L31" sqref="L31"/>
    </sheetView>
  </sheetViews>
  <sheetFormatPr baseColWidth="10" defaultColWidth="8.83203125" defaultRowHeight="14"/>
  <cols>
    <col min="1" max="1" width="29" customWidth="1"/>
    <col min="2" max="8" width="16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3" customHeight="1">
      <c r="A3" s="1" t="s">
        <v>1</v>
      </c>
      <c r="B3" s="13" t="s">
        <v>27</v>
      </c>
      <c r="C3" s="3"/>
      <c r="D3" s="3"/>
      <c r="E3" s="3"/>
      <c r="F3" s="3"/>
      <c r="G3" s="3"/>
      <c r="H3" s="3"/>
    </row>
    <row r="4" spans="1:8" ht="23" customHeight="1">
      <c r="A4" s="1" t="s">
        <v>2</v>
      </c>
      <c r="B4" s="4">
        <v>46300</v>
      </c>
      <c r="C4" s="1"/>
      <c r="D4" s="1" t="s">
        <v>3</v>
      </c>
      <c r="E4" s="1"/>
      <c r="F4" s="1"/>
      <c r="G4" s="1"/>
      <c r="H4" s="1"/>
    </row>
    <row r="5" spans="1:8" ht="23" customHeight="1">
      <c r="A5" s="1" t="s">
        <v>4</v>
      </c>
      <c r="B5" s="6">
        <v>0.58333333333333337</v>
      </c>
      <c r="C5" s="1"/>
      <c r="D5" s="1" t="s">
        <v>5</v>
      </c>
      <c r="E5" s="1"/>
      <c r="F5" s="1"/>
      <c r="G5" s="1"/>
      <c r="H5" s="1"/>
    </row>
    <row r="6" spans="1:8" ht="23" customHeight="1">
      <c r="A6" s="1"/>
      <c r="B6" s="1"/>
      <c r="C6" s="1"/>
      <c r="D6" s="1"/>
      <c r="E6" s="1"/>
      <c r="F6" s="1"/>
      <c r="G6" s="1"/>
      <c r="H6" s="1"/>
    </row>
    <row r="7" spans="1:8" ht="23" customHeight="1">
      <c r="A7" s="1" t="s">
        <v>6</v>
      </c>
      <c r="B7" s="1"/>
      <c r="C7" s="1"/>
      <c r="D7" s="1"/>
      <c r="E7" s="1"/>
      <c r="F7" s="1"/>
      <c r="G7" s="1"/>
      <c r="H7" s="1"/>
    </row>
    <row r="8" spans="1:8" ht="23" customHeight="1">
      <c r="A8" s="1" t="s">
        <v>7</v>
      </c>
      <c r="B8" s="1"/>
      <c r="C8" s="1"/>
      <c r="D8" s="1"/>
      <c r="E8" s="1"/>
      <c r="F8" s="1"/>
      <c r="G8" s="1"/>
      <c r="H8" s="1"/>
    </row>
    <row r="9" spans="1:8" ht="23" customHeight="1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8" ht="23" customHeight="1">
      <c r="A10" s="1" t="s">
        <v>16</v>
      </c>
      <c r="B10" s="7">
        <f>$B$4+0</f>
        <v>46300</v>
      </c>
      <c r="C10" s="7">
        <f>$B$4+1</f>
        <v>46301</v>
      </c>
      <c r="D10" s="7">
        <f>$B$4+2</f>
        <v>46302</v>
      </c>
      <c r="E10" s="7">
        <f>$B$4+3</f>
        <v>46303</v>
      </c>
      <c r="F10" s="7">
        <f>$B$4+4</f>
        <v>46304</v>
      </c>
      <c r="G10" s="7">
        <f>$B$4+5</f>
        <v>46305</v>
      </c>
      <c r="H10" s="7">
        <f>$B$4+6</f>
        <v>46306</v>
      </c>
    </row>
    <row r="11" spans="1:8" ht="23" customHeight="1">
      <c r="A11" s="1" t="s">
        <v>17</v>
      </c>
      <c r="B11" s="9" t="str">
        <f t="shared" ref="B11:H11" si="0">IF(COUNTIFS(B20:B43,"&lt;&gt;",$A$20:$A$43,"&lt;"&amp;$B$5)=0,"",SUMIFS(B20:B43,$A$20:$A$43,"&lt;"&amp;$B$5))</f>
        <v/>
      </c>
      <c r="C11" s="9" t="str">
        <f t="shared" si="0"/>
        <v/>
      </c>
      <c r="D11" s="9" t="str">
        <f t="shared" si="0"/>
        <v/>
      </c>
      <c r="E11" s="9">
        <f t="shared" si="0"/>
        <v>0</v>
      </c>
      <c r="F11" s="9">
        <f t="shared" si="0"/>
        <v>0</v>
      </c>
      <c r="G11" s="9">
        <f t="shared" si="0"/>
        <v>0</v>
      </c>
      <c r="H11" s="9">
        <f t="shared" si="0"/>
        <v>0</v>
      </c>
    </row>
    <row r="12" spans="1:8" ht="23" customHeight="1">
      <c r="A12" s="1" t="s">
        <v>18</v>
      </c>
      <c r="B12" s="9" t="str">
        <f t="shared" ref="B12:H12" si="1">IF(COUNTIFS(B20:B43,"&lt;&gt;",$A$20:$A$43,"&gt;="&amp;$B$5)=0,"",SUMIFS(B20:B43,$A$20:$A$43,"&gt;="&amp;$B$5))</f>
        <v/>
      </c>
      <c r="C12" s="9" t="str">
        <f t="shared" si="1"/>
        <v/>
      </c>
      <c r="D12" s="9" t="str">
        <f t="shared" si="1"/>
        <v/>
      </c>
      <c r="E12" s="9">
        <f t="shared" si="1"/>
        <v>1</v>
      </c>
      <c r="F12" s="9">
        <f t="shared" si="1"/>
        <v>2</v>
      </c>
      <c r="G12" s="9">
        <f t="shared" si="1"/>
        <v>2</v>
      </c>
      <c r="H12" s="9">
        <f t="shared" si="1"/>
        <v>3</v>
      </c>
    </row>
    <row r="13" spans="1:8" ht="23" customHeight="1">
      <c r="A13" s="8" t="s">
        <v>19</v>
      </c>
      <c r="B13" s="10" t="str">
        <f t="shared" ref="B13:H13" si="2">IF(COUNT(B20:B43)=0,"",SUM(B11:B12))</f>
        <v/>
      </c>
      <c r="C13" s="10" t="str">
        <f t="shared" si="2"/>
        <v/>
      </c>
      <c r="D13" s="10" t="str">
        <f t="shared" si="2"/>
        <v/>
      </c>
      <c r="E13" s="10">
        <f t="shared" si="2"/>
        <v>1</v>
      </c>
      <c r="F13" s="10">
        <f t="shared" si="2"/>
        <v>2</v>
      </c>
      <c r="G13" s="10">
        <f t="shared" si="2"/>
        <v>2</v>
      </c>
      <c r="H13" s="10">
        <f t="shared" si="2"/>
        <v>3</v>
      </c>
    </row>
    <row r="14" spans="1:8" ht="23" customHeight="1">
      <c r="A14" s="1" t="s">
        <v>20</v>
      </c>
      <c r="B14" s="9" t="str">
        <f t="shared" ref="B14:H14" si="3">IF(COUNT(B20:B43)=0,"",COUNT(B20:B43))</f>
        <v/>
      </c>
      <c r="C14" s="9" t="str">
        <f t="shared" si="3"/>
        <v/>
      </c>
      <c r="D14" s="9" t="str">
        <f t="shared" si="3"/>
        <v/>
      </c>
      <c r="E14" s="9">
        <f t="shared" si="3"/>
        <v>17</v>
      </c>
      <c r="F14" s="9">
        <f t="shared" si="3"/>
        <v>17</v>
      </c>
      <c r="G14" s="9">
        <f t="shared" si="3"/>
        <v>17</v>
      </c>
      <c r="H14" s="9">
        <f t="shared" si="3"/>
        <v>17</v>
      </c>
    </row>
    <row r="15" spans="1:8" ht="23" customHeight="1">
      <c r="A15" s="1"/>
      <c r="B15" s="9"/>
      <c r="C15" s="9"/>
      <c r="D15" s="9"/>
      <c r="E15" s="9"/>
      <c r="F15" s="9"/>
      <c r="G15" s="9"/>
      <c r="H15" s="9"/>
    </row>
    <row r="16" spans="1:8" ht="23" customHeight="1">
      <c r="A16" s="1" t="s">
        <v>21</v>
      </c>
      <c r="B16" s="9">
        <f>IF(COUNT(B13:H13)=0,"",SUM(B13:H13))</f>
        <v>8</v>
      </c>
      <c r="C16" s="1" t="s">
        <v>22</v>
      </c>
      <c r="D16" s="1"/>
      <c r="E16" s="9"/>
      <c r="F16" s="9"/>
      <c r="G16" s="9"/>
      <c r="H16" s="9"/>
    </row>
    <row r="17" spans="1:8" ht="23" customHeight="1">
      <c r="A17" s="1"/>
      <c r="B17" s="9"/>
      <c r="C17" s="9"/>
      <c r="D17" s="9"/>
      <c r="E17" s="9"/>
      <c r="F17" s="9"/>
      <c r="G17" s="9"/>
      <c r="H17" s="9"/>
    </row>
    <row r="18" spans="1:8" ht="23" customHeight="1">
      <c r="A18" s="1" t="s">
        <v>23</v>
      </c>
      <c r="B18" s="9"/>
      <c r="C18" s="9"/>
      <c r="D18" s="9"/>
      <c r="E18" s="9"/>
      <c r="F18" s="9"/>
      <c r="G18" s="9"/>
      <c r="H18" s="9"/>
    </row>
    <row r="19" spans="1:8" ht="23" customHeight="1">
      <c r="A19" s="12" t="s">
        <v>24</v>
      </c>
      <c r="B19" s="12" t="s">
        <v>9</v>
      </c>
      <c r="C19" s="12" t="s">
        <v>10</v>
      </c>
      <c r="D19" s="12" t="s">
        <v>11</v>
      </c>
      <c r="E19" s="12" t="s">
        <v>12</v>
      </c>
      <c r="F19" s="12" t="s">
        <v>13</v>
      </c>
      <c r="G19" s="12" t="s">
        <v>14</v>
      </c>
      <c r="H19" s="12" t="s">
        <v>15</v>
      </c>
    </row>
    <row r="20" spans="1:8" ht="23" hidden="1" customHeight="1">
      <c r="A20" s="5">
        <v>0</v>
      </c>
      <c r="B20" s="14"/>
      <c r="C20" s="11"/>
      <c r="D20" s="11"/>
      <c r="E20" s="11"/>
      <c r="F20" s="11"/>
      <c r="G20" s="11"/>
      <c r="H20" s="11"/>
    </row>
    <row r="21" spans="1:8" ht="23" hidden="1" customHeight="1">
      <c r="A21" s="5">
        <v>4.1666666666666664E-2</v>
      </c>
      <c r="B21" s="11"/>
      <c r="C21" s="11"/>
      <c r="D21" s="11"/>
      <c r="E21" s="11"/>
      <c r="F21" s="11"/>
      <c r="G21" s="11"/>
      <c r="H21" s="11"/>
    </row>
    <row r="22" spans="1:8" ht="23" hidden="1" customHeight="1">
      <c r="A22" s="5">
        <v>8.3333333333333329E-2</v>
      </c>
      <c r="B22" s="11"/>
      <c r="C22" s="11"/>
      <c r="D22" s="11"/>
      <c r="E22" s="11"/>
      <c r="F22" s="11"/>
      <c r="G22" s="11"/>
      <c r="H22" s="11"/>
    </row>
    <row r="23" spans="1:8" ht="23" hidden="1" customHeight="1">
      <c r="A23" s="5">
        <v>0.125</v>
      </c>
      <c r="B23" s="11"/>
      <c r="C23" s="11"/>
      <c r="D23" s="11"/>
      <c r="E23" s="11"/>
      <c r="F23" s="11"/>
      <c r="G23" s="11"/>
      <c r="H23" s="11"/>
    </row>
    <row r="24" spans="1:8" ht="23" hidden="1" customHeight="1">
      <c r="A24" s="5">
        <v>0.16666666666666666</v>
      </c>
      <c r="B24" s="11"/>
      <c r="C24" s="11"/>
      <c r="D24" s="11"/>
      <c r="E24" s="11"/>
      <c r="F24" s="11"/>
      <c r="G24" s="11"/>
      <c r="H24" s="11"/>
    </row>
    <row r="25" spans="1:8" ht="23" hidden="1" customHeight="1">
      <c r="A25" s="5">
        <v>0.20833333333333334</v>
      </c>
      <c r="B25" s="11"/>
      <c r="C25" s="11"/>
      <c r="D25" s="11"/>
      <c r="E25" s="11"/>
      <c r="F25" s="11"/>
      <c r="G25" s="11"/>
      <c r="H25" s="11"/>
    </row>
    <row r="26" spans="1:8" ht="23" hidden="1" customHeight="1">
      <c r="A26" s="5">
        <v>0.25</v>
      </c>
      <c r="B26" s="11"/>
      <c r="C26" s="11"/>
      <c r="D26" s="11"/>
      <c r="E26" s="11"/>
      <c r="F26" s="11"/>
      <c r="G26" s="11"/>
      <c r="H26" s="11"/>
    </row>
    <row r="27" spans="1:8" ht="23" customHeight="1">
      <c r="A27" s="5">
        <v>0.29166666666666669</v>
      </c>
      <c r="B27" s="11"/>
      <c r="C27" s="11"/>
      <c r="D27" s="11"/>
      <c r="E27" s="11">
        <v>0</v>
      </c>
      <c r="F27" s="11">
        <v>0</v>
      </c>
      <c r="G27" s="11">
        <v>0</v>
      </c>
      <c r="H27" s="11">
        <v>0</v>
      </c>
    </row>
    <row r="28" spans="1:8" ht="23" customHeight="1">
      <c r="A28" s="5">
        <v>0.33333333333333331</v>
      </c>
      <c r="B28" s="11"/>
      <c r="C28" s="11"/>
      <c r="D28" s="11"/>
      <c r="E28" s="11">
        <v>0</v>
      </c>
      <c r="F28" s="11">
        <v>0</v>
      </c>
      <c r="G28" s="11">
        <v>0</v>
      </c>
      <c r="H28" s="11">
        <v>0</v>
      </c>
    </row>
    <row r="29" spans="1:8" ht="23" customHeight="1">
      <c r="A29" s="5">
        <v>0.375</v>
      </c>
      <c r="B29" s="11"/>
      <c r="C29" s="11"/>
      <c r="D29" s="11"/>
      <c r="E29" s="11">
        <v>0</v>
      </c>
      <c r="F29" s="11">
        <v>0</v>
      </c>
      <c r="G29" s="11">
        <v>0</v>
      </c>
      <c r="H29" s="11">
        <v>0</v>
      </c>
    </row>
    <row r="30" spans="1:8" ht="23" customHeight="1">
      <c r="A30" s="5">
        <v>0.41666666666666669</v>
      </c>
      <c r="B30" s="11"/>
      <c r="C30" s="11"/>
      <c r="D30" s="11"/>
      <c r="E30" s="11">
        <v>0</v>
      </c>
      <c r="F30" s="11">
        <v>0</v>
      </c>
      <c r="G30" s="11">
        <v>0</v>
      </c>
      <c r="H30" s="11">
        <v>0</v>
      </c>
    </row>
    <row r="31" spans="1:8" ht="23" customHeight="1">
      <c r="A31" s="5">
        <v>0.45833333333333331</v>
      </c>
      <c r="B31" s="11"/>
      <c r="C31" s="11"/>
      <c r="D31" s="11"/>
      <c r="E31" s="11">
        <v>0</v>
      </c>
      <c r="F31" s="11">
        <v>0</v>
      </c>
      <c r="G31" s="11">
        <v>0</v>
      </c>
      <c r="H31" s="11">
        <v>0</v>
      </c>
    </row>
    <row r="32" spans="1:8" ht="23" customHeight="1">
      <c r="A32" s="5">
        <v>0.5</v>
      </c>
      <c r="B32" s="11"/>
      <c r="C32" s="11"/>
      <c r="D32" s="11"/>
      <c r="E32" s="11">
        <v>0</v>
      </c>
      <c r="F32" s="11">
        <v>0</v>
      </c>
      <c r="G32" s="11">
        <v>0</v>
      </c>
      <c r="H32" s="11">
        <v>0</v>
      </c>
    </row>
    <row r="33" spans="1:8" ht="23" customHeight="1">
      <c r="A33" s="5">
        <v>0.54166666666666663</v>
      </c>
      <c r="B33" s="11"/>
      <c r="C33" s="11"/>
      <c r="D33" s="11"/>
      <c r="E33" s="11">
        <v>0</v>
      </c>
      <c r="F33" s="11">
        <v>0</v>
      </c>
      <c r="G33" s="11">
        <v>0</v>
      </c>
      <c r="H33" s="11">
        <v>0</v>
      </c>
    </row>
    <row r="34" spans="1:8" ht="23" customHeight="1">
      <c r="A34" s="5">
        <v>0.58333333333333337</v>
      </c>
      <c r="B34" s="11"/>
      <c r="C34" s="11"/>
      <c r="D34" s="11"/>
      <c r="E34" s="11">
        <v>0</v>
      </c>
      <c r="F34" s="11">
        <v>0</v>
      </c>
      <c r="G34" s="11">
        <v>0</v>
      </c>
      <c r="H34" s="11">
        <v>0</v>
      </c>
    </row>
    <row r="35" spans="1:8" ht="23" customHeight="1">
      <c r="A35" s="5">
        <v>0.625</v>
      </c>
      <c r="B35" s="11"/>
      <c r="C35" s="11"/>
      <c r="D35" s="11"/>
      <c r="E35" s="11">
        <v>0</v>
      </c>
      <c r="F35" s="11">
        <v>0</v>
      </c>
      <c r="G35" s="11">
        <v>0</v>
      </c>
      <c r="H35" s="11">
        <v>0</v>
      </c>
    </row>
    <row r="36" spans="1:8" ht="23" customHeight="1">
      <c r="A36" s="5">
        <v>0.66666666666666663</v>
      </c>
      <c r="B36" s="11"/>
      <c r="C36" s="11"/>
      <c r="D36" s="11"/>
      <c r="E36" s="11">
        <v>0</v>
      </c>
      <c r="F36" s="11">
        <v>0</v>
      </c>
      <c r="G36" s="11">
        <v>0</v>
      </c>
      <c r="H36" s="11">
        <v>1</v>
      </c>
    </row>
    <row r="37" spans="1:8" ht="23" customHeight="1">
      <c r="A37" s="5">
        <v>0.70833333333333337</v>
      </c>
      <c r="B37" s="11"/>
      <c r="C37" s="11"/>
      <c r="D37" s="11"/>
      <c r="E37" s="11">
        <v>0</v>
      </c>
      <c r="F37" s="11">
        <v>1</v>
      </c>
      <c r="G37" s="11">
        <v>0</v>
      </c>
      <c r="H37" s="11">
        <v>0</v>
      </c>
    </row>
    <row r="38" spans="1:8" ht="23" customHeight="1">
      <c r="A38" s="5">
        <v>0.75</v>
      </c>
      <c r="B38" s="11"/>
      <c r="C38" s="11"/>
      <c r="D38" s="11"/>
      <c r="E38" s="11">
        <v>0</v>
      </c>
      <c r="F38" s="11">
        <v>0</v>
      </c>
      <c r="G38" s="11">
        <v>1</v>
      </c>
      <c r="H38" s="11">
        <v>1</v>
      </c>
    </row>
    <row r="39" spans="1:8" ht="23" customHeight="1">
      <c r="A39" s="5">
        <v>0.79166666666666663</v>
      </c>
      <c r="B39" s="11"/>
      <c r="C39" s="11"/>
      <c r="D39" s="11"/>
      <c r="E39" s="11">
        <v>0</v>
      </c>
      <c r="F39" s="11">
        <v>0</v>
      </c>
      <c r="G39" s="11">
        <v>0</v>
      </c>
      <c r="H39" s="11">
        <v>0</v>
      </c>
    </row>
    <row r="40" spans="1:8" ht="23" customHeight="1">
      <c r="A40" s="5">
        <v>0.83333333333333337</v>
      </c>
      <c r="B40" s="11"/>
      <c r="C40" s="11"/>
      <c r="D40" s="11"/>
      <c r="E40" s="11">
        <v>0</v>
      </c>
      <c r="F40" s="11">
        <v>1</v>
      </c>
      <c r="G40" s="11">
        <v>1</v>
      </c>
      <c r="H40" s="11">
        <v>1</v>
      </c>
    </row>
    <row r="41" spans="1:8" ht="23" customHeight="1">
      <c r="A41" s="5">
        <v>0.875</v>
      </c>
      <c r="B41" s="11"/>
      <c r="C41" s="11"/>
      <c r="D41" s="11"/>
      <c r="E41" s="11">
        <v>1</v>
      </c>
      <c r="F41" s="11">
        <v>0</v>
      </c>
      <c r="G41" s="11">
        <v>0</v>
      </c>
      <c r="H41" s="11">
        <v>0</v>
      </c>
    </row>
    <row r="42" spans="1:8" ht="23" customHeight="1">
      <c r="A42" s="5">
        <v>0.91666666666666663</v>
      </c>
      <c r="B42" s="11"/>
      <c r="C42" s="11"/>
      <c r="D42" s="11"/>
      <c r="E42" s="11">
        <v>0</v>
      </c>
      <c r="F42" s="11">
        <v>0</v>
      </c>
      <c r="G42" s="11">
        <v>0</v>
      </c>
      <c r="H42" s="11">
        <v>0</v>
      </c>
    </row>
    <row r="43" spans="1:8" ht="23" customHeight="1">
      <c r="A43" s="5">
        <v>0.95833333333333337</v>
      </c>
      <c r="B43" s="11"/>
      <c r="C43" s="11"/>
      <c r="D43" s="11"/>
      <c r="E43" s="11">
        <v>0</v>
      </c>
      <c r="F43" s="11">
        <v>0</v>
      </c>
      <c r="G43" s="11">
        <v>0</v>
      </c>
      <c r="H43" s="11">
        <v>0</v>
      </c>
    </row>
    <row r="44" spans="1:8" ht="23" customHeight="1">
      <c r="A44" s="1"/>
      <c r="B44" s="1"/>
      <c r="C44" s="1"/>
      <c r="D44" s="1"/>
      <c r="E44" s="1"/>
      <c r="F44" s="1"/>
      <c r="G44" s="1"/>
      <c r="H44" s="1"/>
    </row>
    <row r="45" spans="1:8" ht="23" customHeight="1">
      <c r="A45" s="1" t="s">
        <v>25</v>
      </c>
      <c r="B45" s="3"/>
      <c r="C45" s="3"/>
      <c r="D45" s="3"/>
      <c r="E45" s="3"/>
      <c r="F45" s="3"/>
      <c r="G45" s="3"/>
      <c r="H45" s="3"/>
    </row>
    <row r="46" spans="1:8" ht="23" customHeight="1">
      <c r="A46" s="1"/>
      <c r="B46" s="3"/>
      <c r="C46" s="3"/>
      <c r="D46" s="3"/>
      <c r="E46" s="3"/>
      <c r="F46" s="3"/>
      <c r="G46" s="3"/>
      <c r="H46" s="3"/>
    </row>
    <row r="47" spans="1:8" ht="23" customHeight="1">
      <c r="A47" s="1"/>
      <c r="B47" s="1"/>
      <c r="C47" s="1"/>
      <c r="D47" s="1"/>
      <c r="E47" s="1"/>
      <c r="F47" s="1"/>
      <c r="G47" s="1"/>
      <c r="H47" s="1"/>
    </row>
    <row r="48" spans="1:8" ht="23" customHeight="1">
      <c r="A48" s="1" t="s">
        <v>26</v>
      </c>
      <c r="B48" s="1"/>
      <c r="C48" s="1"/>
      <c r="D48" s="1"/>
      <c r="E48" s="1"/>
      <c r="F48" s="1"/>
      <c r="G48" s="1"/>
      <c r="H48" s="1"/>
    </row>
    <row r="49" spans="1:8" ht="23" customHeight="1">
      <c r="A49" s="1"/>
      <c r="B49" s="1"/>
      <c r="C49" s="1"/>
      <c r="D49" s="1"/>
      <c r="E49" s="1"/>
      <c r="F49" s="1"/>
      <c r="G49" s="1"/>
      <c r="H49" s="1"/>
    </row>
  </sheetData>
  <conditionalFormatting sqref="A20:H43">
    <cfRule type="expression" dxfId="2" priority="1">
      <formula>$A20=$B$5</formula>
    </cfRule>
  </conditionalFormatting>
  <dataValidations count="1">
    <dataValidation type="whole" sqref="B20:H43" xr:uid="{3301C742-FDEF-E34D-965F-18F066685442}">
      <formula1>0</formula1>
      <formula2>10000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zoomScale="80" zoomScaleNormal="80" workbookViewId="0">
      <pane ySplit="19" topLeftCell="A27" activePane="bottomLeft" state="frozen"/>
      <selection pane="bottomLeft" activeCell="A13" sqref="A13"/>
    </sheetView>
  </sheetViews>
  <sheetFormatPr baseColWidth="10" defaultColWidth="8.83203125" defaultRowHeight="14"/>
  <cols>
    <col min="1" max="1" width="29" customWidth="1"/>
    <col min="2" max="8" width="16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3" customHeight="1">
      <c r="A3" s="1" t="s">
        <v>1</v>
      </c>
      <c r="B3" s="13" t="s">
        <v>27</v>
      </c>
      <c r="C3" s="3"/>
      <c r="D3" s="3"/>
      <c r="E3" s="3"/>
      <c r="F3" s="3"/>
      <c r="G3" s="3"/>
      <c r="H3" s="3"/>
    </row>
    <row r="4" spans="1:8" ht="23" customHeight="1">
      <c r="A4" s="1" t="s">
        <v>2</v>
      </c>
      <c r="B4" s="4">
        <v>46293</v>
      </c>
      <c r="C4" s="1"/>
      <c r="D4" s="1" t="s">
        <v>3</v>
      </c>
      <c r="E4" s="1"/>
      <c r="F4" s="1"/>
      <c r="G4" s="1"/>
      <c r="H4" s="1"/>
    </row>
    <row r="5" spans="1:8" ht="23" customHeight="1">
      <c r="A5" s="1" t="s">
        <v>4</v>
      </c>
      <c r="B5" s="6">
        <v>0.58333333333333337</v>
      </c>
      <c r="C5" s="1"/>
      <c r="D5" s="1" t="s">
        <v>5</v>
      </c>
      <c r="E5" s="1"/>
      <c r="F5" s="1"/>
      <c r="G5" s="1"/>
      <c r="H5" s="1"/>
    </row>
    <row r="6" spans="1:8" ht="23" customHeight="1">
      <c r="A6" s="1"/>
      <c r="B6" s="1"/>
      <c r="C6" s="1"/>
      <c r="D6" s="1"/>
      <c r="E6" s="1"/>
      <c r="F6" s="1"/>
      <c r="G6" s="1"/>
      <c r="H6" s="1"/>
    </row>
    <row r="7" spans="1:8" ht="23" customHeight="1">
      <c r="A7" s="1" t="s">
        <v>6</v>
      </c>
      <c r="B7" s="1"/>
      <c r="C7" s="1"/>
      <c r="D7" s="1"/>
      <c r="E7" s="1"/>
      <c r="F7" s="1"/>
      <c r="G7" s="1"/>
      <c r="H7" s="1"/>
    </row>
    <row r="8" spans="1:8" ht="23" customHeight="1">
      <c r="A8" s="1" t="s">
        <v>7</v>
      </c>
      <c r="B8" s="1"/>
      <c r="C8" s="1"/>
      <c r="D8" s="1"/>
      <c r="E8" s="1"/>
      <c r="F8" s="1"/>
      <c r="G8" s="1"/>
      <c r="H8" s="1"/>
    </row>
    <row r="9" spans="1:8" ht="23" customHeight="1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8" ht="23" customHeight="1">
      <c r="A10" s="1" t="s">
        <v>16</v>
      </c>
      <c r="B10" s="7">
        <f>$B$4+0</f>
        <v>46293</v>
      </c>
      <c r="C10" s="7">
        <f>$B$4+1</f>
        <v>46294</v>
      </c>
      <c r="D10" s="7">
        <f>$B$4+2</f>
        <v>46295</v>
      </c>
      <c r="E10" s="7">
        <f>$B$4+3</f>
        <v>46296</v>
      </c>
      <c r="F10" s="7">
        <f>$B$4+4</f>
        <v>46297</v>
      </c>
      <c r="G10" s="7">
        <f>$B$4+5</f>
        <v>46298</v>
      </c>
      <c r="H10" s="7">
        <f>$B$4+6</f>
        <v>46299</v>
      </c>
    </row>
    <row r="11" spans="1:8" ht="23" customHeight="1">
      <c r="A11" s="1" t="s">
        <v>17</v>
      </c>
      <c r="B11" s="9" t="str">
        <f t="shared" ref="B11:H11" si="0">IF(COUNTIFS(B20:B43,"&lt;&gt;",$A$20:$A$43,"&lt;"&amp;$B$5)=0,"",SUMIFS(B20:B43,$A$20:$A$43,"&lt;"&amp;$B$5))</f>
        <v/>
      </c>
      <c r="C11" s="9" t="str">
        <f t="shared" si="0"/>
        <v/>
      </c>
      <c r="D11" s="9" t="str">
        <f t="shared" si="0"/>
        <v/>
      </c>
      <c r="E11" s="9" t="str">
        <f t="shared" si="0"/>
        <v/>
      </c>
      <c r="F11" s="9" t="str">
        <f t="shared" si="0"/>
        <v/>
      </c>
      <c r="G11" s="9">
        <f t="shared" si="0"/>
        <v>1</v>
      </c>
      <c r="H11" s="9" t="str">
        <f t="shared" si="0"/>
        <v/>
      </c>
    </row>
    <row r="12" spans="1:8" ht="23" customHeight="1">
      <c r="A12" s="1" t="s">
        <v>18</v>
      </c>
      <c r="B12" s="9" t="str">
        <f t="shared" ref="B12:H12" si="1">IF(COUNTIFS(B20:B43,"&lt;&gt;",$A$20:$A$43,"&gt;="&amp;$B$5)=0,"",SUMIFS(B20:B43,$A$20:$A$43,"&gt;="&amp;$B$5))</f>
        <v/>
      </c>
      <c r="C12" s="9" t="str">
        <f t="shared" si="1"/>
        <v/>
      </c>
      <c r="D12" s="9" t="str">
        <f t="shared" si="1"/>
        <v/>
      </c>
      <c r="E12" s="9" t="str">
        <f t="shared" si="1"/>
        <v/>
      </c>
      <c r="F12" s="9" t="str">
        <f t="shared" si="1"/>
        <v/>
      </c>
      <c r="G12" s="9">
        <f t="shared" si="1"/>
        <v>0</v>
      </c>
      <c r="H12" s="9" t="str">
        <f t="shared" si="1"/>
        <v/>
      </c>
    </row>
    <row r="13" spans="1:8" ht="23" customHeight="1">
      <c r="A13" s="8" t="s">
        <v>19</v>
      </c>
      <c r="B13" s="10" t="str">
        <f t="shared" ref="B13:H13" si="2">IF(COUNT(B20:B43)=0,"",SUM(B11:B12))</f>
        <v/>
      </c>
      <c r="C13" s="10" t="str">
        <f t="shared" si="2"/>
        <v/>
      </c>
      <c r="D13" s="10" t="str">
        <f t="shared" si="2"/>
        <v/>
      </c>
      <c r="E13" s="10" t="str">
        <f t="shared" si="2"/>
        <v/>
      </c>
      <c r="F13" s="10" t="str">
        <f t="shared" si="2"/>
        <v/>
      </c>
      <c r="G13" s="10">
        <f t="shared" si="2"/>
        <v>1</v>
      </c>
      <c r="H13" s="10" t="str">
        <f t="shared" si="2"/>
        <v/>
      </c>
    </row>
    <row r="14" spans="1:8" ht="23" customHeight="1">
      <c r="A14" s="1" t="s">
        <v>20</v>
      </c>
      <c r="B14" s="9" t="str">
        <f t="shared" ref="B14:H14" si="3">IF(COUNT(B20:B43)=0,"",COUNT(B20:B43))</f>
        <v/>
      </c>
      <c r="C14" s="9" t="str">
        <f t="shared" si="3"/>
        <v/>
      </c>
      <c r="D14" s="9" t="str">
        <f t="shared" si="3"/>
        <v/>
      </c>
      <c r="E14" s="9" t="str">
        <f t="shared" si="3"/>
        <v/>
      </c>
      <c r="F14" s="9" t="str">
        <f t="shared" si="3"/>
        <v/>
      </c>
      <c r="G14" s="9">
        <f t="shared" si="3"/>
        <v>16</v>
      </c>
      <c r="H14" s="9" t="str">
        <f t="shared" si="3"/>
        <v/>
      </c>
    </row>
    <row r="15" spans="1:8" ht="23" customHeight="1">
      <c r="A15" s="1"/>
      <c r="B15" s="9"/>
      <c r="C15" s="9"/>
      <c r="D15" s="9"/>
      <c r="E15" s="9"/>
      <c r="F15" s="9"/>
      <c r="G15" s="9"/>
      <c r="H15" s="9"/>
    </row>
    <row r="16" spans="1:8" ht="23" customHeight="1">
      <c r="A16" s="1" t="s">
        <v>21</v>
      </c>
      <c r="B16" s="9">
        <f>IF(COUNT(B13:H13)=0,"",SUM(B13:H13))</f>
        <v>1</v>
      </c>
      <c r="C16" s="1" t="s">
        <v>22</v>
      </c>
      <c r="D16" s="1"/>
      <c r="E16" s="9"/>
      <c r="F16" s="9"/>
      <c r="G16" s="9"/>
      <c r="H16" s="9"/>
    </row>
    <row r="17" spans="1:8" ht="23" customHeight="1">
      <c r="A17" s="1"/>
      <c r="B17" s="9"/>
      <c r="C17" s="9"/>
      <c r="D17" s="9"/>
      <c r="E17" s="9"/>
      <c r="F17" s="9"/>
      <c r="G17" s="9"/>
      <c r="H17" s="9"/>
    </row>
    <row r="18" spans="1:8" ht="23" customHeight="1">
      <c r="A18" s="1" t="s">
        <v>23</v>
      </c>
      <c r="B18" s="9"/>
      <c r="C18" s="9"/>
      <c r="D18" s="9"/>
      <c r="E18" s="9"/>
      <c r="F18" s="9"/>
      <c r="G18" s="9"/>
      <c r="H18" s="9"/>
    </row>
    <row r="19" spans="1:8" ht="23" customHeight="1">
      <c r="A19" s="12" t="s">
        <v>24</v>
      </c>
      <c r="B19" s="12" t="s">
        <v>9</v>
      </c>
      <c r="C19" s="12" t="s">
        <v>10</v>
      </c>
      <c r="D19" s="12" t="s">
        <v>11</v>
      </c>
      <c r="E19" s="12" t="s">
        <v>12</v>
      </c>
      <c r="F19" s="12" t="s">
        <v>13</v>
      </c>
      <c r="G19" s="12" t="s">
        <v>14</v>
      </c>
      <c r="H19" s="12" t="s">
        <v>15</v>
      </c>
    </row>
    <row r="20" spans="1:8" ht="23" hidden="1" customHeight="1">
      <c r="A20" s="5">
        <v>0</v>
      </c>
      <c r="B20" s="14"/>
      <c r="C20" s="11"/>
      <c r="D20" s="11"/>
      <c r="E20" s="11"/>
      <c r="F20" s="11"/>
      <c r="G20" s="11"/>
      <c r="H20" s="11"/>
    </row>
    <row r="21" spans="1:8" ht="23" hidden="1" customHeight="1">
      <c r="A21" s="5">
        <v>4.1666666666666664E-2</v>
      </c>
      <c r="B21" s="11"/>
      <c r="C21" s="11"/>
      <c r="D21" s="11"/>
      <c r="E21" s="11"/>
      <c r="F21" s="11"/>
      <c r="G21" s="11"/>
      <c r="H21" s="11"/>
    </row>
    <row r="22" spans="1:8" ht="23" hidden="1" customHeight="1">
      <c r="A22" s="5">
        <v>8.3333333333333329E-2</v>
      </c>
      <c r="B22" s="11"/>
      <c r="C22" s="11"/>
      <c r="D22" s="11"/>
      <c r="E22" s="11"/>
      <c r="F22" s="11"/>
      <c r="G22" s="11"/>
      <c r="H22" s="11"/>
    </row>
    <row r="23" spans="1:8" ht="23" hidden="1" customHeight="1">
      <c r="A23" s="5">
        <v>0.125</v>
      </c>
      <c r="B23" s="11"/>
      <c r="C23" s="11"/>
      <c r="D23" s="11"/>
      <c r="E23" s="11"/>
      <c r="F23" s="11"/>
      <c r="G23" s="11"/>
      <c r="H23" s="11"/>
    </row>
    <row r="24" spans="1:8" ht="23" hidden="1" customHeight="1">
      <c r="A24" s="5">
        <v>0.16666666666666666</v>
      </c>
      <c r="B24" s="11"/>
      <c r="C24" s="11"/>
      <c r="D24" s="11"/>
      <c r="E24" s="11"/>
      <c r="F24" s="11"/>
      <c r="G24" s="11"/>
      <c r="H24" s="11"/>
    </row>
    <row r="25" spans="1:8" ht="23" hidden="1" customHeight="1">
      <c r="A25" s="5">
        <v>0.20833333333333334</v>
      </c>
      <c r="B25" s="11"/>
      <c r="C25" s="11"/>
      <c r="D25" s="11"/>
      <c r="E25" s="11"/>
      <c r="F25" s="11"/>
      <c r="G25" s="11"/>
      <c r="H25" s="11"/>
    </row>
    <row r="26" spans="1:8" ht="23" hidden="1" customHeight="1">
      <c r="A26" s="5">
        <v>0.25</v>
      </c>
      <c r="B26" s="11"/>
      <c r="C26" s="11"/>
      <c r="D26" s="11"/>
      <c r="E26" s="11"/>
      <c r="F26" s="11"/>
      <c r="G26" s="11"/>
      <c r="H26" s="11"/>
    </row>
    <row r="27" spans="1:8" ht="23" customHeight="1">
      <c r="A27" s="5">
        <v>0.29166666666666669</v>
      </c>
      <c r="B27" s="11"/>
      <c r="C27" s="11"/>
      <c r="D27" s="11"/>
      <c r="E27" s="11"/>
      <c r="F27" s="11"/>
      <c r="G27" s="11">
        <v>0</v>
      </c>
      <c r="H27" s="11"/>
    </row>
    <row r="28" spans="1:8" ht="23" customHeight="1">
      <c r="A28" s="5">
        <v>0.33333333333333331</v>
      </c>
      <c r="B28" s="11"/>
      <c r="C28" s="11"/>
      <c r="D28" s="11"/>
      <c r="E28" s="11"/>
      <c r="F28" s="11"/>
      <c r="G28" s="11">
        <v>0</v>
      </c>
      <c r="H28" s="11"/>
    </row>
    <row r="29" spans="1:8" ht="23" customHeight="1">
      <c r="A29" s="5">
        <v>0.375</v>
      </c>
      <c r="B29" s="11"/>
      <c r="C29" s="11"/>
      <c r="D29" s="11"/>
      <c r="E29" s="11"/>
      <c r="F29" s="11"/>
      <c r="G29" s="11">
        <v>1</v>
      </c>
      <c r="H29" s="11"/>
    </row>
    <row r="30" spans="1:8" ht="23" customHeight="1">
      <c r="A30" s="5">
        <v>0.41666666666666669</v>
      </c>
      <c r="B30" s="11"/>
      <c r="C30" s="11"/>
      <c r="D30" s="11"/>
      <c r="E30" s="11"/>
      <c r="F30" s="11"/>
      <c r="G30" s="11">
        <v>0</v>
      </c>
      <c r="H30" s="11"/>
    </row>
    <row r="31" spans="1:8" ht="23" customHeight="1">
      <c r="A31" s="5">
        <v>0.45833333333333331</v>
      </c>
      <c r="B31" s="11"/>
      <c r="C31" s="11"/>
      <c r="D31" s="11"/>
      <c r="E31" s="11"/>
      <c r="F31" s="11"/>
      <c r="G31" s="11">
        <v>0</v>
      </c>
      <c r="H31" s="11"/>
    </row>
    <row r="32" spans="1:8" ht="23" customHeight="1">
      <c r="A32" s="5">
        <v>0.5</v>
      </c>
      <c r="B32" s="11"/>
      <c r="C32" s="11"/>
      <c r="D32" s="11"/>
      <c r="E32" s="11"/>
      <c r="F32" s="11"/>
      <c r="G32" s="11">
        <v>0</v>
      </c>
      <c r="H32" s="11"/>
    </row>
    <row r="33" spans="1:8" ht="23" customHeight="1">
      <c r="A33" s="5">
        <v>0.54166666666666663</v>
      </c>
      <c r="B33" s="11"/>
      <c r="C33" s="11"/>
      <c r="D33" s="11"/>
      <c r="E33" s="11"/>
      <c r="F33" s="11"/>
      <c r="G33" s="11"/>
      <c r="H33" s="11"/>
    </row>
    <row r="34" spans="1:8" ht="23" customHeight="1">
      <c r="A34" s="5">
        <v>0.58333333333333337</v>
      </c>
      <c r="B34" s="11"/>
      <c r="C34" s="11"/>
      <c r="D34" s="11"/>
      <c r="E34" s="11"/>
      <c r="F34" s="11"/>
      <c r="G34" s="11">
        <v>0</v>
      </c>
      <c r="H34" s="11"/>
    </row>
    <row r="35" spans="1:8" ht="23" customHeight="1">
      <c r="A35" s="5">
        <v>0.625</v>
      </c>
      <c r="B35" s="11"/>
      <c r="C35" s="11"/>
      <c r="D35" s="11"/>
      <c r="E35" s="11"/>
      <c r="F35" s="11"/>
      <c r="G35" s="11">
        <v>0</v>
      </c>
      <c r="H35" s="11"/>
    </row>
    <row r="36" spans="1:8" ht="23" customHeight="1">
      <c r="A36" s="5">
        <v>0.66666666666666663</v>
      </c>
      <c r="B36" s="11"/>
      <c r="C36" s="11"/>
      <c r="D36" s="11"/>
      <c r="E36" s="11"/>
      <c r="F36" s="11"/>
      <c r="G36" s="11">
        <v>0</v>
      </c>
      <c r="H36" s="11"/>
    </row>
    <row r="37" spans="1:8" ht="23" customHeight="1">
      <c r="A37" s="5">
        <v>0.70833333333333337</v>
      </c>
      <c r="B37" s="11"/>
      <c r="C37" s="11"/>
      <c r="D37" s="11"/>
      <c r="E37" s="11"/>
      <c r="F37" s="11"/>
      <c r="G37" s="11">
        <v>0</v>
      </c>
      <c r="H37" s="11"/>
    </row>
    <row r="38" spans="1:8" ht="23" customHeight="1">
      <c r="A38" s="5">
        <v>0.75</v>
      </c>
      <c r="B38" s="11"/>
      <c r="C38" s="11"/>
      <c r="D38" s="11"/>
      <c r="E38" s="11"/>
      <c r="F38" s="11"/>
      <c r="G38" s="11">
        <v>0</v>
      </c>
      <c r="H38" s="11"/>
    </row>
    <row r="39" spans="1:8" ht="23" customHeight="1">
      <c r="A39" s="5">
        <v>0.79166666666666663</v>
      </c>
      <c r="B39" s="11"/>
      <c r="C39" s="11"/>
      <c r="D39" s="11"/>
      <c r="E39" s="11"/>
      <c r="F39" s="11"/>
      <c r="G39" s="11">
        <v>0</v>
      </c>
      <c r="H39" s="11"/>
    </row>
    <row r="40" spans="1:8" ht="23" customHeight="1">
      <c r="A40" s="5">
        <v>0.83333333333333337</v>
      </c>
      <c r="B40" s="11"/>
      <c r="C40" s="11"/>
      <c r="D40" s="11"/>
      <c r="E40" s="11"/>
      <c r="F40" s="11"/>
      <c r="G40" s="11">
        <v>0</v>
      </c>
      <c r="H40" s="11"/>
    </row>
    <row r="41" spans="1:8" ht="23" customHeight="1">
      <c r="A41" s="5">
        <v>0.875</v>
      </c>
      <c r="B41" s="11"/>
      <c r="C41" s="11"/>
      <c r="D41" s="11"/>
      <c r="E41" s="11"/>
      <c r="F41" s="11"/>
      <c r="G41" s="11">
        <v>0</v>
      </c>
      <c r="H41" s="11"/>
    </row>
    <row r="42" spans="1:8" ht="23" customHeight="1">
      <c r="A42" s="5">
        <v>0.91666666666666663</v>
      </c>
      <c r="B42" s="11"/>
      <c r="C42" s="11"/>
      <c r="D42" s="11"/>
      <c r="E42" s="11"/>
      <c r="F42" s="11"/>
      <c r="G42" s="11">
        <v>0</v>
      </c>
      <c r="H42" s="11"/>
    </row>
    <row r="43" spans="1:8" ht="23" customHeight="1">
      <c r="A43" s="5">
        <v>0.95833333333333337</v>
      </c>
      <c r="B43" s="11"/>
      <c r="C43" s="11"/>
      <c r="D43" s="11"/>
      <c r="E43" s="11"/>
      <c r="F43" s="11"/>
      <c r="G43" s="11">
        <v>0</v>
      </c>
      <c r="H43" s="11"/>
    </row>
    <row r="44" spans="1:8" ht="23" customHeight="1">
      <c r="A44" s="1"/>
      <c r="B44" s="1"/>
      <c r="C44" s="1"/>
      <c r="D44" s="1"/>
      <c r="E44" s="1"/>
      <c r="F44" s="1"/>
      <c r="G44" s="1"/>
      <c r="H44" s="1"/>
    </row>
    <row r="45" spans="1:8" ht="23" customHeight="1">
      <c r="A45" s="1" t="s">
        <v>25</v>
      </c>
      <c r="B45" s="3"/>
      <c r="C45" s="3"/>
      <c r="D45" s="3"/>
      <c r="E45" s="3"/>
      <c r="F45" s="3"/>
      <c r="G45" s="3"/>
      <c r="H45" s="3"/>
    </row>
    <row r="46" spans="1:8" ht="23" customHeight="1">
      <c r="A46" s="1"/>
      <c r="B46" s="3"/>
      <c r="C46" s="3"/>
      <c r="D46" s="3"/>
      <c r="E46" s="3"/>
      <c r="F46" s="3"/>
      <c r="G46" s="3"/>
      <c r="H46" s="3"/>
    </row>
    <row r="47" spans="1:8" ht="23" customHeight="1">
      <c r="A47" s="1"/>
      <c r="B47" s="1"/>
      <c r="C47" s="1"/>
      <c r="D47" s="1"/>
      <c r="E47" s="1"/>
      <c r="F47" s="1"/>
      <c r="G47" s="1"/>
      <c r="H47" s="1"/>
    </row>
    <row r="48" spans="1:8" ht="23" customHeight="1">
      <c r="A48" s="1" t="s">
        <v>26</v>
      </c>
      <c r="B48" s="1"/>
      <c r="C48" s="1"/>
      <c r="D48" s="1"/>
      <c r="E48" s="1"/>
      <c r="F48" s="1"/>
      <c r="G48" s="1"/>
      <c r="H48" s="1"/>
    </row>
    <row r="49" spans="1:8" ht="23" customHeight="1">
      <c r="A49" s="1"/>
      <c r="B49" s="1"/>
      <c r="C49" s="1"/>
      <c r="D49" s="1"/>
      <c r="E49" s="1"/>
      <c r="F49" s="1"/>
      <c r="G49" s="1"/>
      <c r="H49" s="1"/>
    </row>
  </sheetData>
  <conditionalFormatting sqref="A20:H43">
    <cfRule type="expression" dxfId="1" priority="1">
      <formula>$A20=$B$5</formula>
    </cfRule>
  </conditionalFormatting>
  <dataValidations count="1">
    <dataValidation type="whole" sqref="B20:H43" xr:uid="{00000000-0002-0000-0000-000000000000}">
      <formula1>0</formula1>
      <formula2>10000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Examen semanal 43</vt:lpstr>
      <vt:lpstr>Examen semanal 42</vt:lpstr>
      <vt:lpstr>Examen semanal 41</vt:lpstr>
      <vt:lpstr>Examen semanal 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Oleksandr Kovalyk</cp:lastModifiedBy>
  <dcterms:modified xsi:type="dcterms:W3CDTF">2026-10-21T20:45:47Z</dcterms:modified>
</cp:coreProperties>
</file>